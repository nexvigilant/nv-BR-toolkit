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Settings" sheetId="2" state="visible" r:id="rId4"/>
    <sheet name="2. Criteria" sheetId="3" state="visible" r:id="rId5"/>
    <sheet name="3. Performance" sheetId="4" state="visible" r:id="rId6"/>
    <sheet name="4. Scoring" sheetId="5" state="visible" r:id="rId7"/>
    <sheet name="5. Weighting" sheetId="6" state="visible" r:id="rId8"/>
    <sheet name="6. Analysis" sheetId="7" state="visible" r:id="rId9"/>
    <sheet name="7. Sensitivity" sheetId="8" state="visible" r:id="rId10"/>
    <sheet name="8. Visualization" sheetId="9" state="visible" r:id="rId11"/>
    <sheet name="Refere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<sst xmlns="http://schemas.openxmlformats.org/spreadsheetml/2006/main" count="250" uniqueCount="180">
  <si>
    <t xml:space="preserve">NexVigilant MCDA Decision Model</t>
  </si>
  <si>
    <t xml:space="preserve">Multi-Criteria Decision Analysis for Quantitative Benefit-Risk Assessment | Based on CIOMS WG XII &amp; IMI-PROTECT</t>
  </si>
  <si>
    <t xml:space="preserve">◎ LOAD-BEARING CONCEPT: WHAT IS MCDA?</t>
  </si>
  <si>
    <t xml:space="preserve">Multi-Criteria Decision Analysis (MCDA) is a structured framework for making decisions involving multiple, potentially conflicting criteria. In benefit-risk assessment, MCDA provides:
• SYSTEMATIC STRUCTURE: Decompose complex B-R decisions into manageable components (criteria)
• EXPLICIT WEIGHTING: Quantify the relative importance of different benefits and risks
• TRANSPARENT AGGREGATION: Combine criteria scores using defensible mathematical rules
• SENSITIVITY TESTING: Examine how conclusions change under different assumptions
• STAKEHOLDER ALIGNMENT: Make implicit value judgments explicit and discussable
MCDA does NOT replace clinical judgment—it structures and documents the reasoning process. The output is not "the answer" but rather a transparent framework for understanding how different value perspectives affect conclusions.
Per CIOMS WG XII: "Quantitative approaches should be considered when decision-makers have divergent views, when complex trade-offs exist across multiple attributes, or when the benefit-risk balance is close to equipoise." </t>
  </si>
  <si>
    <t xml:space="preserve">◆ SIGNAL DETECTED: WHEN MCDA IS WARRANTED</t>
  </si>
  <si>
    <t xml:space="preserve">MCDA adds value when qualitative assessment alone is insufficient. Specific triggers include:
1. DIVERGENT STAKEHOLDER VIEWS: BRMT members disagree on B-R conclusion
2. CLOSE CALLS: Benefits and risks are approximately balanced; small weighting changes could flip the decision
3. COMPLEX TRADE-OFFS: Multiple benefits and multiple risks with no obvious dominant option
4. COMPARATIVE DECISIONS: Choosing between treatment alternatives with different B-R profiles
5. TRANSPARENCY REQUIREMENTS: Regulatory agencies request explicit B-R quantification
6. PATIENT PREFERENCE INTEGRATION: Incorporating patient trade-off data into decision-making
MCDA is NOT needed when the B-R conclusion is obvious (clear benefit dominance or unacceptable risk).</t>
  </si>
  <si>
    <t xml:space="preserve">◎ HOW TO USE THIS WORKBOOK</t>
  </si>
  <si>
    <t xml:space="preserve">STEP 1: Configure Settings (Sheet: "1. Settings")
Define product, comparator, indication, and select the MCDA aggregation method (linear additive model recommended).
STEP 2: Define Criteria (Sheet: "2. Criteria")
List all benefit and risk criteria to be included. These should match your Value Tree and Effects Table. Include only criteria that materially affect the B-R decision.
STEP 3: Enter Performance Data (Sheet: "3. Performance")
Enter raw outcome data for Product and Comparator on each criterion. Define best/worst reference values for normalization.
STEP 4: Score Normalization (Sheet: "4. Scoring")
Auto-calculated: converts raw performance to 0-100 utility scores using linear interpolation. Higher score = better performance.
STEP 5: Assign Preference Weights (Sheet: "5. Weighting")
Enter stakeholder weights for each criterion. Benefits weights must sum to 100%. Risks weights must sum to 100%. 
Then assign the overall Benefits vs Risks trade-off weight.
STEP 6: Review Analysis (Sheet: "6. Analysis")
Auto-calculated: weighted utility scores for each criterion, aggregated B-R scores, and decision recommendation.
STEP 7: Sensitivity Analysis (Sheet: "7. Sensitivity")
Examine how the decision changes when weights are varied. Identify threshold weights where the decision flips.
STEP 8: Visualization (Sheet: "8. Visualization")
Pre-formatted data for creating stacked bar charts, tornado diagrams, and decision threshold plots.</t>
  </si>
  <si>
    <t xml:space="preserve">Template © 2025 NexVigilant LLC | www.nexvigilant.com | Empowerment Through Vigilance</t>
  </si>
  <si>
    <t xml:space="preserve">MCDA MODEL SETTINGS</t>
  </si>
  <si>
    <t xml:space="preserve">Assessment Information</t>
  </si>
  <si>
    <t xml:space="preserve">Product Name:</t>
  </si>
  <si>
    <t xml:space="preserve">Enter product INN</t>
  </si>
  <si>
    <t xml:space="preserve">Comparator:</t>
  </si>
  <si>
    <t xml:space="preserve">Enter comparator (e.g., Placebo, Active Control)</t>
  </si>
  <si>
    <t xml:space="preserve">Indication:</t>
  </si>
  <si>
    <t xml:space="preserve">Enter indication</t>
  </si>
  <si>
    <t xml:space="preserve">Target Population:</t>
  </si>
  <si>
    <t xml:space="preserve">Define patient population</t>
  </si>
  <si>
    <t xml:space="preserve">Data Source:</t>
  </si>
  <si>
    <t xml:space="preserve">e.g., Pivotal Phase 3, Meta-analysis</t>
  </si>
  <si>
    <t xml:space="preserve">Assessment Date:</t>
  </si>
  <si>
    <t xml:space="preserve">DD-MMM-YYYY</t>
  </si>
  <si>
    <t xml:space="preserve">BRAD Reference:</t>
  </si>
  <si>
    <t xml:space="preserve">e.g., BRAD-2025-001 v2.0</t>
  </si>
  <si>
    <t xml:space="preserve">MCDA Method Configuration</t>
  </si>
  <si>
    <t xml:space="preserve">Aggregation Method:</t>
  </si>
  <si>
    <t xml:space="preserve">Linear Additive</t>
  </si>
  <si>
    <t xml:space="preserve">← Linear Additive recommended per IMI-PROTECT</t>
  </si>
  <si>
    <t xml:space="preserve">Scoring Scale:</t>
  </si>
  <si>
    <t xml:space="preserve">0-100</t>
  </si>
  <si>
    <t xml:space="preserve">← 0 = Worst, 100 = Best</t>
  </si>
  <si>
    <t xml:space="preserve">B-R Integration:</t>
  </si>
  <si>
    <t xml:space="preserve">Difference (Benefits - Risks)</t>
  </si>
  <si>
    <t xml:space="preserve">◎ GUIDANCE: The Linear Additive model is the most widely used and interpretable MCDA approach. It assumes criteria are preference-independent (value on one criterion doesn't depend on values of others).</t>
  </si>
  <si>
    <t xml:space="preserve">DECISION CRITERIA</t>
  </si>
  <si>
    <t xml:space="preserve">Define all benefit and risk criteria to be included in the MCDA. These should align with your Value Tree and Effects Table.</t>
  </si>
  <si>
    <t xml:space="preserve">BENEFIT CRITERIA</t>
  </si>
  <si>
    <t xml:space="preserve">#</t>
  </si>
  <si>
    <t xml:space="preserve">ID</t>
  </si>
  <si>
    <t xml:space="preserve">Criterion Name</t>
  </si>
  <si>
    <t xml:space="preserve">Description / Endpoint</t>
  </si>
  <si>
    <t xml:space="preserve">Direction</t>
  </si>
  <si>
    <t xml:space="preserve">B1</t>
  </si>
  <si>
    <t xml:space="preserve">Overall Response Rate</t>
  </si>
  <si>
    <t xml:space="preserve">ORR per RECIST 1.1 criteria</t>
  </si>
  <si>
    <t xml:space="preserve">Higher = Better</t>
  </si>
  <si>
    <t xml:space="preserve">B2</t>
  </si>
  <si>
    <t xml:space="preserve">Progression-Free Survival</t>
  </si>
  <si>
    <t xml:space="preserve">Median PFS (months)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</si>
  <si>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</si>
  <si>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</si>
  <si>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</si>
  <si>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</si>
  <si>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</si>
  <si>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</si>
  <si>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RISK CRITERIA</t>
  </si>
  <si>
    <t xml:space="preserve">R1</t>
  </si>
  <si>
    <t xml:space="preserve">Grade 3+ Neutropenia</t>
  </si>
  <si>
    <t xml:space="preserve">Incidence of CTCAE Grade ≥3 neutropenia</t>
  </si>
  <si>
    <t xml:space="preserve">Higher = Worse</t>
  </si>
  <si>
    <t xml:space="preserve">R2</t>
  </si>
  <si>
    <t xml:space="preserve">Treatment Discontinuation</t>
  </si>
  <si>
    <t xml:space="preserve">Discontinuation due to adverse events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</si>
  <si>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</si>
  <si>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</si>
  <si>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</si>
  <si>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</si>
  <si>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</si>
  <si>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</si>
  <si>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PERFORMANCE DATA</t>
  </si>
  <si>
    <t xml:space="preserve">Enter raw outcome data for Product and Comparator. Define Best and Worst reference values for score normalization.</t>
  </si>
  <si>
    <t xml:space="preserve">BENEFIT CRITERIA - PERFORMANCE</t>
  </si>
  <si>
    <t xml:space="preserve">Criterion</t>
  </si>
  <si>
    <t xml:space="preserve">Product</t>
  </si>
  <si>
    <t xml:space="preserve">Comparator</t>
  </si>
  <si>
    <t xml:space="preserve">Best</t>
  </si>
  <si>
    <t xml:space="preserve">Worst</t>
  </si>
  <si>
    <t xml:space="preserve">Unit</t>
  </si>
  <si>
    <t xml:space="preserve">%</t>
  </si>
  <si>
    <t xml:space="preserve">months</t>
  </si>
  <si>
    <t xml:space="preserve">RISK CRITERIA - PERFORMANCE</t>
  </si>
  <si>
    <t xml:space="preserve">NORMALIZED SCORES (0-100)</t>
  </si>
  <si>
    <t xml:space="preserve">Auto-calculated: Linear interpolation converts raw performance to 0-100 utility scale. Higher score = better performance.</t>
  </si>
  <si>
    <t xml:space="preserve">BENEFIT SCORES</t>
  </si>
  <si>
    <t xml:space="preserve">Product
Score</t>
  </si>
  <si>
    <t xml:space="preserve">Comparator
Score</t>
  </si>
  <si>
    <t xml:space="preserve">Difference</t>
  </si>
  <si>
    <t xml:space="preserve">RISK SCORES</t>
  </si>
  <si>
    <t xml:space="preserve">PREFERENCE WEIGHTS</t>
  </si>
  <si>
    <t xml:space="preserve">Assign importance weights to each criterion. Within-category weights must sum to 100%. Then set the overall Benefits vs Risks trade-off.</t>
  </si>
  <si>
    <t xml:space="preserve">BENEFIT WEIGHTS</t>
  </si>
  <si>
    <t xml:space="preserve">Weight (%)</t>
  </si>
  <si>
    <t xml:space="preserve">Validation</t>
  </si>
  <si>
    <t xml:space="preserve">TOTAL</t>
  </si>
  <si>
    <t xml:space="preserve">RISK WEIGHTS</t>
  </si>
  <si>
    <t xml:space="preserve">OVERALL BENEFIT-RISK TRADE-OFF</t>
  </si>
  <si>
    <t xml:space="preserve">Benefits Weight (%)</t>
  </si>
  <si>
    <t xml:space="preserve">← Trade-off weight</t>
  </si>
  <si>
    <t xml:space="preserve">Risks Weight (%)</t>
  </si>
  <si>
    <t xml:space="preserve">← Auto-calculated</t>
  </si>
  <si>
    <t xml:space="preserve">MCDA ANALYSIS RESULTS</t>
  </si>
  <si>
    <t xml:space="preserve">Auto-calculated: Weighted utility scores, aggregated B-R values, and decision recommendation.</t>
  </si>
  <si>
    <t xml:space="preserve">WEIGHTED BENEFIT SCORES</t>
  </si>
  <si>
    <t xml:space="preserve">Weight</t>
  </si>
  <si>
    <t xml:space="preserve">Comp.
Score</t>
  </si>
  <si>
    <t xml:space="preserve">Product
Weighted</t>
  </si>
  <si>
    <t xml:space="preserve">Comp.
Weighted</t>
  </si>
  <si>
    <t xml:space="preserve">BENEFIT SUBTOTAL</t>
  </si>
  <si>
    <t xml:space="preserve">WEIGHTED RISK SCORES</t>
  </si>
  <si>
    <t xml:space="preserve">RISK SUBTOTAL</t>
  </si>
  <si>
    <t xml:space="preserve">OVERALL BENEFIT-RISK ASSESSMENT</t>
  </si>
  <si>
    <t xml:space="preserve">PRODUCT Overall B-R Score:</t>
  </si>
  <si>
    <t xml:space="preserve">COMPARATOR Overall B-R Score:</t>
  </si>
  <si>
    <t xml:space="preserve">NET B-R DIFFERENCE:</t>
  </si>
  <si>
    <t xml:space="preserve">SENSITIVITY ANALYSIS</t>
  </si>
  <si>
    <t xml:space="preserve">Examine how the B-R conclusion changes when the Benefits vs Risks trade-off weight is varied. Identify threshold values.</t>
  </si>
  <si>
    <t xml:space="preserve">ONE-WAY SENSITIVITY: BENEFITS WEIGHT</t>
  </si>
  <si>
    <t xml:space="preserve">Benefits Weight →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</si>
  <si>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</si>
  <si>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</si>
  <si>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</si>
  <si>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</si>
  <si>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</si>
  <si>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</si>
  <si>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</si>
  <si>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</si>
  <si>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</si>
  <si>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Product B-R Score</t>
  </si>
  <si>
    <t xml:space="preserve">Comparator B-R Score</t>
  </si>
  <si>
    <t xml:space="preserve">Net Difference (Prod - Comp)</t>
  </si>
  <si>
    <t xml:space="preserve">Decision</t>
  </si>
  <si>
    <t xml:space="preserve">THRESHOLD ANALYSIS</t>
  </si>
  <si>
    <t xml:space="preserve">Current Benefits Weight:</t>
  </si>
  <si>
    <t xml:space="preserve">Current Decision:</t>
  </si>
  <si>
    <t xml:space="preserve">◎ INTERPRETATION: If the decision changes within the range of plausible weight values (typically 30-70% for Benefits), the conclusion is sensitive to preference assumptions. If the decision is stable across all weight values, the conclusion is robust.</t>
  </si>
  <si>
    <t xml:space="preserve">VISUALIZATION DATA</t>
  </si>
  <si>
    <t xml:space="preserve">Pre-formatted data for creating stacked bar charts, tornado diagrams, and decision visualizations in Excel or presentation software.</t>
  </si>
  <si>
    <t xml:space="preserve">STACKED BAR CHART DATA</t>
  </si>
  <si>
    <t xml:space="preserve">Treatment</t>
  </si>
  <si>
    <t xml:space="preserve">Benefit Score</t>
  </si>
  <si>
    <t xml:space="preserve">Risk Avoidance</t>
  </si>
  <si>
    <t xml:space="preserve">Total B-R</t>
  </si>
  <si>
    <t xml:space="preserve">Max Possible</t>
  </si>
  <si>
    <t xml:space="preserve">TORNADO DIAGRAM DATA (Criterion Impact)</t>
  </si>
  <si>
    <t xml:space="preserve">Type</t>
  </si>
  <si>
    <t xml:space="preserve">Score Diff</t>
  </si>
  <si>
    <t xml:space="preserve">Impact</t>
  </si>
  <si>
    <t xml:space="preserve">Benefit</t>
  </si>
  <si>
    <t xml:space="preserve">Risk</t>
  </si>
  <si>
    <t xml:space="preserve">◎ TO CREATE STACKED BAR CHART: Select B6:E8 → Insert → Bar Chart → Stacked Bar. Add data labels. Format Benefits in teal, Risk Avoidance in green.</t>
  </si>
  <si>
    <t xml:space="preserve">◎ TO CREATE TORNADO: Select B11:F19 → Sort by Impact (absolute value) → Insert → Bar Chart → Format positive/negative differently.</t>
  </si>
  <si>
    <t xml:space="preserve">MCDA METHODOLOGY REFERENCE</t>
  </si>
  <si>
    <t xml:space="preserve">KEY MCDA CONCEPTS</t>
  </si>
  <si>
    <t xml:space="preserve">Criteria</t>
  </si>
  <si>
    <t xml:space="preserve">The individual benefits and risks included in the assessment. Should be mutually exclusive, collectively exhaustive, and measurable.</t>
  </si>
  <si>
    <t xml:space="preserve">Performance</t>
  </si>
  <si>
    <t xml:space="preserve">Raw outcome data for each criterion (e.g., response rate, incidence of AE). The factual basis for scoring.</t>
  </si>
  <si>
    <t xml:space="preserve">Scoring/Utility</t>
  </si>
  <si>
    <t xml:space="preserve">Conversion of raw performance to a common 0-100 scale. Enables comparison across criteria with different units.</t>
  </si>
  <si>
    <t xml:space="preserve">Weights</t>
  </si>
  <si>
    <t xml:space="preserve">Numerical values representing the relative importance of each criterion. Reflect stakeholder preferences.</t>
  </si>
  <si>
    <t xml:space="preserve">Aggregation</t>
  </si>
  <si>
    <t xml:space="preserve">Mathematical combination of weighted scores into an overall B-R value. Linear additive is most common.</t>
  </si>
  <si>
    <t xml:space="preserve">Sensitivity Analysis</t>
  </si>
  <si>
    <t xml:space="preserve">Systematic variation of inputs (especially weights) to test robustness of conclusions.</t>
  </si>
  <si>
    <t xml:space="preserve">MCDA LIMITATIONS</t>
  </si>
  <si>
    <t xml:space="preserve">Preference Independence</t>
  </si>
  <si>
    <t xml:space="preserve">Linear additive models assume criteria are preference-independent. Violated if value on one criterion depends on another.</t>
  </si>
  <si>
    <t xml:space="preserve">Weight Elicitation</t>
  </si>
  <si>
    <t xml:space="preserve">Weights are subjective and may vary across stakeholders. Document weight sources and rationale.</t>
  </si>
  <si>
    <t xml:space="preserve">Scoring Sensitivity</t>
  </si>
  <si>
    <t xml:space="preserve">Results depend on choice of best/worst reference values. Test sensitivity to these anchors.</t>
  </si>
  <si>
    <t xml:space="preserve">Not a Decision Rule</t>
  </si>
  <si>
    <t xml:space="preserve">MCDA supports but does not replace judgment. Interpret results in clinical context.</t>
  </si>
  <si>
    <t xml:space="preserve">SOURCES</t>
  </si>
  <si>
    <t xml:space="preserve">CIOMS Working Group XII: Benefit-Risk Balance for Medicinal Products (May 2025)</t>
  </si>
  <si>
    <t xml:space="preserve">IMI-PROTECT: Recommendations for the methodology and visualisation techniques to be used in B-R assessment</t>
  </si>
  <si>
    <t xml:space="preserve">Mussen F, Salek S, Walker S. A Quantitative Approach to Benefit-Risk Assessment of Medicines</t>
  </si>
  <si>
    <t xml:space="preserve">EMA Benefit-Risk Methodology Project (2010)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</si>
</sst>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\+0.0;\-0.0;0.0"/>
    <numFmt numFmtId="168" formatCode="0%"/>
    <numFmt numFmtId="169" formatCode="\+0.00;\-0.00;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65D"/>
      <name val="Arial"/>
      <family val="0"/>
      <charset val="1"/>
    </font>
    <font>
      <i val="true"/>
      <sz val="12"/>
      <color rgb="FF64748B"/>
      <name val="Arial"/>
      <family val="0"/>
      <charset val="1"/>
    </font>
    <font>
      <b val="true"/>
      <sz val="11"/>
      <color rgb="FF1A365D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i val="true"/>
      <sz val="9"/>
      <color rgb="FF0D94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365D"/>
      <name val="Arial"/>
      <family val="0"/>
      <charset val="1"/>
    </font>
    <font>
      <b val="true"/>
      <sz val="12"/>
      <color rgb="FF1A365D"/>
      <name val="Arial"/>
      <family val="0"/>
      <charset val="1"/>
    </font>
    <font>
      <b val="true"/>
      <sz val="16"/>
      <color rgb="FF1A365D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0F2FE"/>
        <bgColor rgb="FFF1F5F9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1F5F9"/>
      </patternFill>
    </fill>
    <fill>
      <patternFill patternType="solid">
        <fgColor rgb="FF1A365D"/>
        <bgColor rgb="FF333333"/>
      </patternFill>
    </fill>
    <fill>
      <patternFill patternType="solid">
        <fgColor rgb="FFF1F5F9"/>
        <bgColor rgb="FFEDE9FE"/>
      </patternFill>
    </fill>
    <fill>
      <patternFill patternType="solid">
        <fgColor rgb="FF0D9488"/>
        <bgColor rgb="FF008080"/>
      </patternFill>
    </fill>
    <fill>
      <patternFill patternType="solid">
        <fgColor rgb="FF16A34A"/>
        <bgColor rgb="FF0D9488"/>
      </patternFill>
    </fill>
    <fill>
      <patternFill patternType="solid">
        <fgColor rgb="FFDCFCE7"/>
        <bgColor rgb="FFCCFBF1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F1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  <border diagonalUp="false" diagonalDown="false">
      <left style="medium">
        <color rgb="FF1A365D"/>
      </left>
      <right/>
      <top style="medium">
        <color rgb="FF1A365D"/>
      </top>
      <bottom style="medium">
        <color rgb="FF1A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CCFBF1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0F2FE"/>
      <rgbColor rgb="FFF1F5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A365D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  <col collapsed="false" customWidth="true" hidden="false" outlineLevel="0" max="3" min="3" style="0" width="3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80" hidden="false" customHeight="true" outlineLevel="0" collapsed="false">
      <c r="B6" s="4" t="s">
        <v>3</v>
      </c>
    </row>
    <row r="8" customFormat="false" ht="15" hidden="false" customHeight="false" outlineLevel="0" collapsed="false">
      <c r="B8" s="5" t="s">
        <v>4</v>
      </c>
    </row>
    <row r="9" customFormat="false" ht="150" hidden="false" customHeight="true" outlineLevel="0" collapsed="false">
      <c r="B9" s="4" t="s">
        <v>5</v>
      </c>
    </row>
    <row r="11" customFormat="false" ht="15" hidden="false" customHeight="false" outlineLevel="0" collapsed="false">
      <c r="B11" s="6" t="s">
        <v>6</v>
      </c>
    </row>
    <row r="12" customFormat="false" ht="279.75" hidden="false" customHeight="true" outlineLevel="0" collapsed="false">
      <c r="B12" s="4" t="s">
        <v>7</v>
      </c>
    </row>
    <row r="14" customFormat="false" ht="15" hidden="false" customHeight="false" outlineLevel="0" collapsed="false">
      <c r="B14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3"/>
  </cols>
  <sheetData>
    <row r="2" customFormat="false" ht="17.35" hidden="false" customHeight="true" outlineLevel="0" collapsed="false">
      <c r="B2" s="8" t="s">
        <v>9</v>
      </c>
      <c r="C2" s="8"/>
      <c r="D2" s="8"/>
    </row>
    <row r="4" customFormat="false" ht="15" hidden="false" customHeight="false" outlineLevel="0" collapsed="false">
      <c r="B4" s="9" t="s">
        <v>10</v>
      </c>
    </row>
    <row r="5" customFormat="false" ht="15" hidden="false" customHeight="false" outlineLevel="0" collapsed="false">
      <c r="B5" s="10" t="s">
        <v>11</v>
      </c>
      <c r="C5" s="11" t="s">
        <v>12</v>
      </c>
    </row>
    <row r="6" customFormat="false" ht="15" hidden="false" customHeight="false" outlineLevel="0" collapsed="false">
      <c r="B6" s="10" t="s">
        <v>13</v>
      </c>
      <c r="C6" s="11" t="s">
        <v>14</v>
      </c>
    </row>
    <row r="7" customFormat="false" ht="15" hidden="false" customHeight="false" outlineLevel="0" collapsed="false">
      <c r="B7" s="10" t="s">
        <v>15</v>
      </c>
      <c r="C7" s="11" t="s">
        <v>16</v>
      </c>
    </row>
    <row r="8" customFormat="false" ht="15" hidden="false" customHeight="false" outlineLevel="0" collapsed="false">
      <c r="B8" s="10" t="s">
        <v>17</v>
      </c>
      <c r="C8" s="11" t="s">
        <v>18</v>
      </c>
    </row>
    <row r="9" customFormat="false" ht="15" hidden="false" customHeight="false" outlineLevel="0" collapsed="false">
      <c r="B9" s="10" t="s">
        <v>19</v>
      </c>
      <c r="C9" s="11" t="s">
        <v>20</v>
      </c>
    </row>
    <row r="10" customFormat="false" ht="15" hidden="false" customHeight="false" outlineLevel="0" collapsed="false">
      <c r="B10" s="10" t="s">
        <v>21</v>
      </c>
      <c r="C10" s="11" t="s">
        <v>22</v>
      </c>
    </row>
    <row r="11" customFormat="false" ht="15" hidden="false" customHeight="false" outlineLevel="0" collapsed="false">
      <c r="B11" s="10" t="s">
        <v>23</v>
      </c>
      <c r="C11" s="11" t="s">
        <v>24</v>
      </c>
    </row>
    <row r="13" customFormat="false" ht="15" hidden="false" customHeight="false" outlineLevel="0" collapsed="false">
      <c r="B13" s="3" t="s">
        <v>25</v>
      </c>
    </row>
    <row r="14" customFormat="false" ht="15" hidden="false" customHeight="false" outlineLevel="0" collapsed="false">
      <c r="B14" s="10" t="s">
        <v>26</v>
      </c>
      <c r="C14" s="12" t="s">
        <v>27</v>
      </c>
      <c r="D14" s="13" t="s">
        <v>28</v>
      </c>
    </row>
    <row r="15" customFormat="false" ht="15" hidden="false" customHeight="false" outlineLevel="0" collapsed="false">
      <c r="B15" s="10" t="s">
        <v>29</v>
      </c>
      <c r="C15" s="12" t="s">
        <v>30</v>
      </c>
      <c r="D15" s="13" t="s">
        <v>31</v>
      </c>
    </row>
    <row r="16" customFormat="false" ht="15" hidden="false" customHeight="false" outlineLevel="0" collapsed="false">
      <c r="B16" s="10" t="s">
        <v>32</v>
      </c>
      <c r="C16" s="12" t="s">
        <v>33</v>
      </c>
    </row>
    <row r="18" customFormat="false" ht="22.35" hidden="false" customHeight="true" outlineLevel="0" collapsed="false">
      <c r="B18" s="14" t="s">
        <v>34</v>
      </c>
      <c r="C18" s="14"/>
      <c r="D18" s="14"/>
    </row>
  </sheetData>
  <mergeCells count="2">
    <mergeCell ref="B2:D2"/>
    <mergeCell ref="B18:D18"/>
  </mergeCells>
  <dataValidations count="2">
    <dataValidation allowBlank="false" errorStyle="stop" operator="between" showDropDown="false" showErrorMessage="false" showInputMessage="false" sqref="C14" type="list">
      <formula1>"Linear Additive,Weighted Product,TOPSIS"</formula1>
      <formula2>0</formula2>
    </dataValidation>
    <dataValidation allowBlank="false" errorStyle="stop" operator="between" showDropDown="false" showErrorMessage="false" showInputMessage="false" sqref="C16" type="list">
      <formula1>"Difference (Benefits - Risks),Ratio (Benefits / Risks),Separate Reporting"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7" min="7" style="0" width="3"/>
  </cols>
  <sheetData>
    <row r="2" customFormat="false" ht="17.35" hidden="false" customHeight="true" outlineLevel="0" collapsed="false">
      <c r="B2" s="8" t="s">
        <v>35</v>
      </c>
      <c r="C2" s="8"/>
      <c r="D2" s="8"/>
      <c r="E2" s="8"/>
      <c r="F2" s="8"/>
    </row>
    <row r="3" customFormat="false" ht="15" hidden="false" customHeight="true" outlineLevel="0" collapsed="false">
      <c r="B3" s="15" t="s">
        <v>36</v>
      </c>
      <c r="C3" s="15"/>
      <c r="D3" s="15"/>
      <c r="E3" s="15"/>
      <c r="F3" s="15"/>
    </row>
    <row r="5" customFormat="false" ht="15" hidden="false" customHeight="true" outlineLevel="0" collapsed="false">
      <c r="B5" s="16" t="s">
        <v>37</v>
      </c>
      <c r="C5" s="16"/>
      <c r="D5" s="16"/>
      <c r="E5" s="16"/>
      <c r="F5" s="16"/>
    </row>
    <row r="6" customFormat="false" ht="15" hidden="false" customHeight="false" outlineLevel="0" collapsed="false">
      <c r="B6" s="17" t="s">
        <v>38</v>
      </c>
      <c r="C6" s="17" t="s">
        <v>39</v>
      </c>
      <c r="D6" s="17" t="s">
        <v>40</v>
      </c>
      <c r="E6" s="17" t="s">
        <v>41</v>
      </c>
      <c r="F6" s="17" t="s">
        <v>42</v>
      </c>
    </row>
    <row r="7" customFormat="false" ht="15" hidden="false" customHeight="false" outlineLevel="0" collapsed="false">
      <c r="B7" s="18" t="n">
        <v>1</v>
      </c>
      <c r="C7" s="19" t="s">
        <v>43</v>
      </c>
      <c r="D7" s="12" t="s">
        <v>44</v>
      </c>
      <c r="E7" s="12" t="s">
        <v>45</v>
      </c>
      <c r="F7" s="19" t="s">
        <v>46</v>
      </c>
    </row>
    <row r="8" customFormat="false" ht="15" hidden="false" customHeight="false" outlineLevel="0" collapsed="false">
      <c r="B8" s="18" t="n">
        <v>2</v>
      </c>
      <c r="C8" s="19" t="s">
        <v>47</v>
      </c>
      <c r="D8" s="12" t="s">
        <v>48</v>
      </c>
      <c r="E8" s="12" t="s">
        <v>49</v>
      </c>
      <c r="F8" s="19" t="s">
        <v>46</v>
      </c>
    </row>
    <row r="9" customFormat="false" ht="15" hidden="false" customHeight="false" outlineLevel="0" collapsed="false">
      <c r="B9" s="18" t="n">
        <v>3</v>
      </c>
      <c r="C9" s="19" t="s">
        <v>50</v>
      </c>
      <c r="D9" s="20"/>
      <c r="E9" s="20"/>
      <c r="F9" s="19" t="s">
        <v>46</v>
      </c>
    </row>
    <row r="10" customFormat="false" ht="15" hidden="false" customHeight="false" outlineLevel="0" collapsed="false">
      <c r="B10" s="18" t="n">
        <v>4</v>
      </c>
      <c r="C10" s="19" t="s">
        <v>51</v>
      </c>
      <c r="D10" s="20"/>
      <c r="E10" s="20"/>
      <c r="F10" s="19" t="s">
        <v>46</v>
      </c>
    </row>
    <row r="11" customFormat="false" ht="15" hidden="false" customHeight="false" outlineLevel="0" collapsed="false">
      <c r="B11" s="18" t="n">
        <v>5</v>
      </c>
      <c r="C11" s="19" t="s">
        <v>52</v>
      </c>
      <c r="D11" s="20"/>
      <c r="E11" s="20"/>
      <c r="F11" s="19" t="s">
        <v>46</v>
      </c>
    </row>
    <row r="12" customFormat="false" ht="15" hidden="false" customHeight="false" outlineLevel="0" collapsed="false">
      <c r="B12" s="18" t="n">
        <v>6</v>
      </c>
      <c r="C12" s="19" t="s">
        <v>53</v>
      </c>
      <c r="D12" s="20"/>
      <c r="E12" s="20"/>
      <c r="F12" s="19" t="s">
        <v>46</v>
      </c>
    </row>
    <row r="13" customFormat="false" ht="15" hidden="false" customHeight="false" outlineLevel="0" collapsed="false">
      <c r="B13" s="18" t="n">
        <v>7</v>
      </c>
      <c r="C13" s="19" t="s">
        <v>54</v>
      </c>
      <c r="D13" s="20"/>
      <c r="E13" s="20"/>
      <c r="F13" s="19" t="s">
        <v>46</v>
      </c>
    </row>
    <row r="14" customFormat="false" ht="15" hidden="false" customHeight="false" outlineLevel="0" collapsed="false">
      <c r="B14" s="18" t="n">
        <v>8</v>
      </c>
      <c r="C14" s="19" t="s">
        <v>55</v>
      </c>
      <c r="D14" s="20"/>
      <c r="E14" s="20"/>
      <c r="F14" s="19" t="s">
        <v>46</v>
      </c>
    </row>
    <row r="16" customFormat="false" ht="15" hidden="false" customHeight="true" outlineLevel="0" collapsed="false">
      <c r="B16" s="21" t="s">
        <v>56</v>
      </c>
      <c r="C16" s="21"/>
      <c r="D16" s="21"/>
      <c r="E16" s="21"/>
      <c r="F16" s="21"/>
    </row>
    <row r="17" customFormat="false" ht="15" hidden="false" customHeight="false" outlineLevel="0" collapsed="false">
      <c r="B17" s="22" t="s">
        <v>38</v>
      </c>
      <c r="C17" s="22" t="s">
        <v>39</v>
      </c>
      <c r="D17" s="22" t="s">
        <v>40</v>
      </c>
      <c r="E17" s="22" t="s">
        <v>41</v>
      </c>
      <c r="F17" s="22" t="s">
        <v>42</v>
      </c>
    </row>
    <row r="18" customFormat="false" ht="15" hidden="false" customHeight="false" outlineLevel="0" collapsed="false">
      <c r="B18" s="23" t="n">
        <v>1</v>
      </c>
      <c r="C18" s="19" t="s">
        <v>57</v>
      </c>
      <c r="D18" s="12" t="s">
        <v>58</v>
      </c>
      <c r="E18" s="12" t="s">
        <v>59</v>
      </c>
      <c r="F18" s="19" t="s">
        <v>60</v>
      </c>
    </row>
    <row r="19" customFormat="false" ht="15" hidden="false" customHeight="false" outlineLevel="0" collapsed="false">
      <c r="B19" s="23" t="n">
        <v>2</v>
      </c>
      <c r="C19" s="19" t="s">
        <v>61</v>
      </c>
      <c r="D19" s="12" t="s">
        <v>62</v>
      </c>
      <c r="E19" s="12" t="s">
        <v>63</v>
      </c>
      <c r="F19" s="19" t="s">
        <v>60</v>
      </c>
    </row>
    <row r="20" customFormat="false" ht="15" hidden="false" customHeight="false" outlineLevel="0" collapsed="false">
      <c r="B20" s="23" t="n">
        <v>3</v>
      </c>
      <c r="C20" s="19" t="s">
        <v>64</v>
      </c>
      <c r="D20" s="20"/>
      <c r="E20" s="20"/>
      <c r="F20" s="19" t="s">
        <v>60</v>
      </c>
    </row>
    <row r="21" customFormat="false" ht="15" hidden="false" customHeight="false" outlineLevel="0" collapsed="false">
      <c r="B21" s="23" t="n">
        <v>4</v>
      </c>
      <c r="C21" s="19" t="s">
        <v>65</v>
      </c>
      <c r="D21" s="20"/>
      <c r="E21" s="20"/>
      <c r="F21" s="19" t="s">
        <v>60</v>
      </c>
    </row>
    <row r="22" customFormat="false" ht="15" hidden="false" customHeight="false" outlineLevel="0" collapsed="false">
      <c r="B22" s="23" t="n">
        <v>5</v>
      </c>
      <c r="C22" s="19" t="s">
        <v>66</v>
      </c>
      <c r="D22" s="20"/>
      <c r="E22" s="20"/>
      <c r="F22" s="19" t="s">
        <v>60</v>
      </c>
    </row>
    <row r="23" customFormat="false" ht="15" hidden="false" customHeight="false" outlineLevel="0" collapsed="false">
      <c r="B23" s="23" t="n">
        <v>6</v>
      </c>
      <c r="C23" s="19" t="s">
        <v>67</v>
      </c>
      <c r="D23" s="20"/>
      <c r="E23" s="20"/>
      <c r="F23" s="19" t="s">
        <v>60</v>
      </c>
    </row>
    <row r="24" customFormat="false" ht="15" hidden="false" customHeight="false" outlineLevel="0" collapsed="false">
      <c r="B24" s="23" t="n">
        <v>7</v>
      </c>
      <c r="C24" s="19" t="s">
        <v>68</v>
      </c>
      <c r="D24" s="20"/>
      <c r="E24" s="20"/>
      <c r="F24" s="19" t="s">
        <v>60</v>
      </c>
    </row>
    <row r="25" customFormat="false" ht="15" hidden="false" customHeight="false" outlineLevel="0" collapsed="false">
      <c r="B25" s="23" t="n">
        <v>8</v>
      </c>
      <c r="C25" s="19" t="s">
        <v>69</v>
      </c>
      <c r="D25" s="20"/>
      <c r="E25" s="20"/>
      <c r="F25" s="19" t="s">
        <v>60</v>
      </c>
    </row>
  </sheetData>
  <mergeCells count="4">
    <mergeCell ref="B2:F2"/>
    <mergeCell ref="B3:F3"/>
    <mergeCell ref="B5:F5"/>
    <mergeCell ref="B16:F16"/>
  </mergeCells>
  <dataValidations count="2">
    <dataValidation allowBlank="true" errorStyle="stop" operator="between" showDropDown="false" showErrorMessage="false" showInputMessage="false" sqref="F7:F14" type="list">
      <formula1>"Higher = Better,Lower = Better"</formula1>
      <formula2>0</formula2>
    </dataValidation>
    <dataValidation allowBlank="true" errorStyle="stop" operator="between" showDropDown="false" showErrorMessage="false" showInputMessage="false" sqref="F18:F25" type="list">
      <formula1>"Higher = Worse,Lower = Worse"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3"/>
  </cols>
  <sheetData>
    <row r="2" customFormat="false" ht="17.35" hidden="false" customHeight="true" outlineLevel="0" collapsed="false">
      <c r="B2" s="8" t="s">
        <v>70</v>
      </c>
      <c r="C2" s="8"/>
      <c r="D2" s="8"/>
      <c r="E2" s="8"/>
      <c r="F2" s="8"/>
      <c r="G2" s="8"/>
      <c r="H2" s="8"/>
      <c r="I2" s="8"/>
    </row>
    <row r="3" customFormat="false" ht="15" hidden="false" customHeight="true" outlineLevel="0" collapsed="false">
      <c r="B3" s="15" t="s">
        <v>71</v>
      </c>
      <c r="C3" s="15"/>
      <c r="D3" s="15"/>
      <c r="E3" s="15"/>
      <c r="F3" s="15"/>
      <c r="G3" s="15"/>
      <c r="H3" s="15"/>
      <c r="I3" s="15"/>
    </row>
    <row r="5" customFormat="false" ht="15" hidden="false" customHeight="true" outlineLevel="0" collapsed="false">
      <c r="B5" s="16" t="s">
        <v>72</v>
      </c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B6" s="17" t="s">
        <v>38</v>
      </c>
      <c r="C6" s="17" t="s">
        <v>39</v>
      </c>
      <c r="D6" s="17" t="s">
        <v>73</v>
      </c>
      <c r="E6" s="17" t="s">
        <v>74</v>
      </c>
      <c r="F6" s="17" t="s">
        <v>75</v>
      </c>
      <c r="G6" s="17" t="s">
        <v>76</v>
      </c>
      <c r="H6" s="17" t="s">
        <v>77</v>
      </c>
      <c r="I6" s="17" t="s">
        <v>78</v>
      </c>
    </row>
    <row r="7" customFormat="false" ht="15" hidden="false" customHeight="false" outlineLevel="0" collapsed="false">
      <c r="B7" s="18" t="n">
        <v>1</v>
      </c>
      <c r="C7" s="24" t="str">
        <f aca="false">'2. Criteria'!C7</f>
        <v>B1</v>
      </c>
      <c r="D7" s="25" t="str">
        <f aca="false">'2. Criteria'!D7</f>
        <v>Overall Response Rate</v>
      </c>
      <c r="E7" s="26" t="n">
        <v>45</v>
      </c>
      <c r="F7" s="26" t="n">
        <v>30</v>
      </c>
      <c r="G7" s="26" t="n">
        <v>100</v>
      </c>
      <c r="H7" s="26" t="n">
        <v>0</v>
      </c>
      <c r="I7" s="19" t="s">
        <v>79</v>
      </c>
    </row>
    <row r="8" customFormat="false" ht="15" hidden="false" customHeight="false" outlineLevel="0" collapsed="false">
      <c r="B8" s="18" t="n">
        <v>2</v>
      </c>
      <c r="C8" s="24" t="str">
        <f aca="false">'2. Criteria'!C8</f>
        <v>B2</v>
      </c>
      <c r="D8" s="25" t="str">
        <f aca="false">'2. Criteria'!D8</f>
        <v>Progression-Free Survival</v>
      </c>
      <c r="E8" s="26" t="n">
        <v>12.5</v>
      </c>
      <c r="F8" s="26" t="n">
        <v>8.2</v>
      </c>
      <c r="G8" s="26" t="n">
        <v>24</v>
      </c>
      <c r="H8" s="26" t="n">
        <v>0</v>
      </c>
      <c r="I8" s="19" t="s">
        <v>80</v>
      </c>
    </row>
    <row r="9" customFormat="false" ht="15" hidden="false" customHeight="false" outlineLevel="0" collapsed="false">
      <c r="B9" s="18" t="n">
        <v>3</v>
      </c>
      <c r="C9" s="24" t="str">
        <f aca="false">'2. Criteria'!C9</f>
        <v>B3</v>
      </c>
      <c r="D9" s="25" t="n">
        <f aca="false">'2. Criteria'!D9</f>
        <v>0</v>
      </c>
      <c r="E9" s="27"/>
      <c r="F9" s="27"/>
      <c r="G9" s="27"/>
      <c r="H9" s="27"/>
      <c r="I9" s="28"/>
    </row>
    <row r="10" customFormat="false" ht="15" hidden="false" customHeight="false" outlineLevel="0" collapsed="false">
      <c r="B10" s="18" t="n">
        <v>4</v>
      </c>
      <c r="C10" s="24" t="str">
        <f aca="false">'2. Criteria'!C10</f>
        <v>B4</v>
      </c>
      <c r="D10" s="25" t="n">
        <f aca="false">'2. Criteria'!D10</f>
        <v>0</v>
      </c>
      <c r="E10" s="27"/>
      <c r="F10" s="27"/>
      <c r="G10" s="27"/>
      <c r="H10" s="27"/>
      <c r="I10" s="28"/>
    </row>
    <row r="11" customFormat="false" ht="15" hidden="false" customHeight="false" outlineLevel="0" collapsed="false">
      <c r="B11" s="18" t="n">
        <v>5</v>
      </c>
      <c r="C11" s="24" t="str">
        <f aca="false">'2. Criteria'!C11</f>
        <v>B5</v>
      </c>
      <c r="D11" s="25" t="n">
        <f aca="false">'2. Criteria'!D11</f>
        <v>0</v>
      </c>
      <c r="E11" s="27"/>
      <c r="F11" s="27"/>
      <c r="G11" s="27"/>
      <c r="H11" s="27"/>
      <c r="I11" s="28"/>
    </row>
    <row r="12" customFormat="false" ht="15" hidden="false" customHeight="false" outlineLevel="0" collapsed="false">
      <c r="B12" s="18" t="n">
        <v>6</v>
      </c>
      <c r="C12" s="24" t="str">
        <f aca="false">'2. Criteria'!C12</f>
        <v>B6</v>
      </c>
      <c r="D12" s="25" t="n">
        <f aca="false">'2. Criteria'!D12</f>
        <v>0</v>
      </c>
      <c r="E12" s="27"/>
      <c r="F12" s="27"/>
      <c r="G12" s="27"/>
      <c r="H12" s="27"/>
      <c r="I12" s="28"/>
    </row>
    <row r="13" customFormat="false" ht="15" hidden="false" customHeight="false" outlineLevel="0" collapsed="false">
      <c r="B13" s="18" t="n">
        <v>7</v>
      </c>
      <c r="C13" s="24" t="str">
        <f aca="false">'2. Criteria'!C13</f>
        <v>B7</v>
      </c>
      <c r="D13" s="25" t="n">
        <f aca="false">'2. Criteria'!D13</f>
        <v>0</v>
      </c>
      <c r="E13" s="27"/>
      <c r="F13" s="27"/>
      <c r="G13" s="27"/>
      <c r="H13" s="27"/>
      <c r="I13" s="28"/>
    </row>
    <row r="14" customFormat="false" ht="15" hidden="false" customHeight="false" outlineLevel="0" collapsed="false">
      <c r="B14" s="18" t="n">
        <v>8</v>
      </c>
      <c r="C14" s="24" t="str">
        <f aca="false">'2. Criteria'!C14</f>
        <v>B8</v>
      </c>
      <c r="D14" s="25" t="n">
        <f aca="false">'2. Criteria'!D14</f>
        <v>0</v>
      </c>
      <c r="E14" s="27"/>
      <c r="F14" s="27"/>
      <c r="G14" s="27"/>
      <c r="H14" s="27"/>
      <c r="I14" s="28"/>
    </row>
    <row r="16" customFormat="false" ht="15" hidden="false" customHeight="true" outlineLevel="0" collapsed="false">
      <c r="B16" s="21" t="s">
        <v>81</v>
      </c>
      <c r="C16" s="21"/>
      <c r="D16" s="21"/>
      <c r="E16" s="21"/>
      <c r="F16" s="21"/>
      <c r="G16" s="21"/>
      <c r="H16" s="21"/>
      <c r="I16" s="21"/>
    </row>
    <row r="17" customFormat="false" ht="15" hidden="false" customHeight="false" outlineLevel="0" collapsed="false">
      <c r="B17" s="22" t="s">
        <v>38</v>
      </c>
      <c r="C17" s="22" t="s">
        <v>39</v>
      </c>
      <c r="D17" s="22" t="s">
        <v>73</v>
      </c>
      <c r="E17" s="22" t="s">
        <v>74</v>
      </c>
      <c r="F17" s="22" t="s">
        <v>75</v>
      </c>
      <c r="G17" s="22" t="s">
        <v>76</v>
      </c>
      <c r="H17" s="22" t="s">
        <v>77</v>
      </c>
      <c r="I17" s="22" t="s">
        <v>78</v>
      </c>
    </row>
    <row r="18" customFormat="false" ht="15" hidden="false" customHeight="false" outlineLevel="0" collapsed="false">
      <c r="B18" s="23" t="n">
        <v>1</v>
      </c>
      <c r="C18" s="24" t="str">
        <f aca="false">'2. Criteria'!C18</f>
        <v>R1</v>
      </c>
      <c r="D18" s="25" t="str">
        <f aca="false">'2. Criteria'!D18</f>
        <v>Grade 3+ Neutropenia</v>
      </c>
      <c r="E18" s="26" t="n">
        <v>25</v>
      </c>
      <c r="F18" s="26" t="n">
        <v>15</v>
      </c>
      <c r="G18" s="26" t="n">
        <v>0</v>
      </c>
      <c r="H18" s="26" t="n">
        <v>50</v>
      </c>
      <c r="I18" s="19" t="s">
        <v>79</v>
      </c>
    </row>
    <row r="19" customFormat="false" ht="15" hidden="false" customHeight="false" outlineLevel="0" collapsed="false">
      <c r="B19" s="23" t="n">
        <v>2</v>
      </c>
      <c r="C19" s="24" t="str">
        <f aca="false">'2. Criteria'!C19</f>
        <v>R2</v>
      </c>
      <c r="D19" s="25" t="str">
        <f aca="false">'2. Criteria'!D19</f>
        <v>Treatment Discontinuation</v>
      </c>
      <c r="E19" s="26" t="n">
        <v>12</v>
      </c>
      <c r="F19" s="26" t="n">
        <v>8</v>
      </c>
      <c r="G19" s="26" t="n">
        <v>0</v>
      </c>
      <c r="H19" s="26" t="n">
        <v>30</v>
      </c>
      <c r="I19" s="19" t="s">
        <v>79</v>
      </c>
    </row>
    <row r="20" customFormat="false" ht="15" hidden="false" customHeight="false" outlineLevel="0" collapsed="false">
      <c r="B20" s="23" t="n">
        <v>3</v>
      </c>
      <c r="C20" s="24" t="str">
        <f aca="false">'2. Criteria'!C20</f>
        <v>R3</v>
      </c>
      <c r="D20" s="25" t="n">
        <f aca="false">'2. Criteria'!D20</f>
        <v>0</v>
      </c>
      <c r="E20" s="27"/>
      <c r="F20" s="27"/>
      <c r="G20" s="27"/>
      <c r="H20" s="27"/>
      <c r="I20" s="28"/>
    </row>
    <row r="21" customFormat="false" ht="15" hidden="false" customHeight="false" outlineLevel="0" collapsed="false">
      <c r="B21" s="23" t="n">
        <v>4</v>
      </c>
      <c r="C21" s="24" t="str">
        <f aca="false">'2. Criteria'!C21</f>
        <v>R4</v>
      </c>
      <c r="D21" s="25" t="n">
        <f aca="false">'2. Criteria'!D21</f>
        <v>0</v>
      </c>
      <c r="E21" s="27"/>
      <c r="F21" s="27"/>
      <c r="G21" s="27"/>
      <c r="H21" s="27"/>
      <c r="I21" s="28"/>
    </row>
    <row r="22" customFormat="false" ht="15" hidden="false" customHeight="false" outlineLevel="0" collapsed="false">
      <c r="B22" s="23" t="n">
        <v>5</v>
      </c>
      <c r="C22" s="24" t="str">
        <f aca="false">'2. Criteria'!C22</f>
        <v>R5</v>
      </c>
      <c r="D22" s="25" t="n">
        <f aca="false">'2. Criteria'!D22</f>
        <v>0</v>
      </c>
      <c r="E22" s="27"/>
      <c r="F22" s="27"/>
      <c r="G22" s="27"/>
      <c r="H22" s="27"/>
      <c r="I22" s="28"/>
    </row>
    <row r="23" customFormat="false" ht="15" hidden="false" customHeight="false" outlineLevel="0" collapsed="false">
      <c r="B23" s="23" t="n">
        <v>6</v>
      </c>
      <c r="C23" s="24" t="str">
        <f aca="false">'2. Criteria'!C23</f>
        <v>R6</v>
      </c>
      <c r="D23" s="25" t="n">
        <f aca="false">'2. Criteria'!D23</f>
        <v>0</v>
      </c>
      <c r="E23" s="27"/>
      <c r="F23" s="27"/>
      <c r="G23" s="27"/>
      <c r="H23" s="27"/>
      <c r="I23" s="28"/>
    </row>
    <row r="24" customFormat="false" ht="15" hidden="false" customHeight="false" outlineLevel="0" collapsed="false">
      <c r="B24" s="23" t="n">
        <v>7</v>
      </c>
      <c r="C24" s="24" t="str">
        <f aca="false">'2. Criteria'!C24</f>
        <v>R7</v>
      </c>
      <c r="D24" s="25" t="n">
        <f aca="false">'2. Criteria'!D24</f>
        <v>0</v>
      </c>
      <c r="E24" s="27"/>
      <c r="F24" s="27"/>
      <c r="G24" s="27"/>
      <c r="H24" s="27"/>
      <c r="I24" s="28"/>
    </row>
    <row r="25" customFormat="false" ht="15" hidden="false" customHeight="false" outlineLevel="0" collapsed="false">
      <c r="B25" s="23" t="n">
        <v>8</v>
      </c>
      <c r="C25" s="24" t="str">
        <f aca="false">'2. Criteria'!C25</f>
        <v>R8</v>
      </c>
      <c r="D25" s="25" t="n">
        <f aca="false">'2. Criteria'!D25</f>
        <v>0</v>
      </c>
      <c r="E25" s="27"/>
      <c r="F25" s="27"/>
      <c r="G25" s="27"/>
      <c r="H25" s="27"/>
      <c r="I25" s="28"/>
    </row>
  </sheetData>
  <mergeCells count="4">
    <mergeCell ref="B2:I2"/>
    <mergeCell ref="B3:I3"/>
    <mergeCell ref="B5:I5"/>
    <mergeCell ref="B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3"/>
  </cols>
  <sheetData>
    <row r="2" customFormat="false" ht="17.35" hidden="false" customHeight="true" outlineLevel="0" collapsed="false">
      <c r="B2" s="8" t="s">
        <v>82</v>
      </c>
      <c r="C2" s="8"/>
      <c r="D2" s="8"/>
      <c r="E2" s="8"/>
      <c r="F2" s="8"/>
      <c r="G2" s="8"/>
    </row>
    <row r="3" customFormat="false" ht="22.35" hidden="false" customHeight="true" outlineLevel="0" collapsed="false">
      <c r="B3" s="15" t="s">
        <v>83</v>
      </c>
      <c r="C3" s="15"/>
      <c r="D3" s="15"/>
      <c r="E3" s="15"/>
      <c r="F3" s="15"/>
      <c r="G3" s="15"/>
    </row>
    <row r="5" customFormat="false" ht="15" hidden="false" customHeight="true" outlineLevel="0" collapsed="false">
      <c r="B5" s="16" t="s">
        <v>84</v>
      </c>
      <c r="C5" s="16"/>
      <c r="D5" s="16"/>
      <c r="E5" s="16"/>
      <c r="F5" s="16"/>
      <c r="G5" s="16"/>
    </row>
    <row r="6" customFormat="false" ht="30" hidden="false" customHeight="true" outlineLevel="0" collapsed="false">
      <c r="B6" s="17" t="s">
        <v>38</v>
      </c>
      <c r="C6" s="17" t="s">
        <v>39</v>
      </c>
      <c r="D6" s="17" t="s">
        <v>73</v>
      </c>
      <c r="E6" s="17" t="s">
        <v>85</v>
      </c>
      <c r="F6" s="17" t="s">
        <v>86</v>
      </c>
      <c r="G6" s="17" t="s">
        <v>87</v>
      </c>
    </row>
    <row r="7" customFormat="false" ht="15" hidden="false" customHeight="false" outlineLevel="0" collapsed="false">
      <c r="B7" s="18" t="n">
        <v>1</v>
      </c>
      <c r="C7" s="24" t="str">
        <f aca="false">'3. Performance'!C7</f>
        <v>B1</v>
      </c>
      <c r="D7" s="25" t="str">
        <f aca="false">'3. Performance'!D7</f>
        <v>Overall Response Rate</v>
      </c>
      <c r="E7" s="29" t="n">
        <f aca="false">IF('3. Performance'!E7="","",IF('3. Performance'!G7='3. Performance'!H7,50,('3. Performance'!E7-'3. Performance'!H7)/('3. Performance'!G7-'3. Performance'!H7)*100))</f>
        <v>45</v>
      </c>
      <c r="F7" s="29" t="n">
        <f aca="false">IF('3. Performance'!F7="","",IF('3. Performance'!G7='3. Performance'!H7,50,('3. Performance'!F7-'3. Performance'!H7)/('3. Performance'!G7-'3. Performance'!H7)*100))</f>
        <v>30</v>
      </c>
      <c r="G7" s="30" t="n">
        <f aca="false">IF(E7="","",E7-F7)</f>
        <v>15</v>
      </c>
    </row>
    <row r="8" customFormat="false" ht="15" hidden="false" customHeight="false" outlineLevel="0" collapsed="false">
      <c r="B8" s="18" t="n">
        <v>2</v>
      </c>
      <c r="C8" s="24" t="str">
        <f aca="false">'3. Performance'!C8</f>
        <v>B2</v>
      </c>
      <c r="D8" s="25" t="str">
        <f aca="false">'3. Performance'!D8</f>
        <v>Progression-Free Survival</v>
      </c>
      <c r="E8" s="29" t="n">
        <f aca="false">IF('3. Performance'!E8="","",IF('3. Performance'!G8='3. Performance'!H8,50,('3. Performance'!E8-'3. Performance'!H8)/('3. Performance'!G8-'3. Performance'!H8)*100))</f>
        <v>52.0833333333333</v>
      </c>
      <c r="F8" s="29" t="n">
        <f aca="false">IF('3. Performance'!F8="","",IF('3. Performance'!G8='3. Performance'!H8,50,('3. Performance'!F8-'3. Performance'!H8)/('3. Performance'!G8-'3. Performance'!H8)*100))</f>
        <v>34.1666666666667</v>
      </c>
      <c r="G8" s="30" t="n">
        <f aca="false">IF(E8="","",E8-F8)</f>
        <v>17.9166666666667</v>
      </c>
    </row>
    <row r="9" customFormat="false" ht="15" hidden="false" customHeight="false" outlineLevel="0" collapsed="false">
      <c r="B9" s="18" t="n">
        <v>3</v>
      </c>
      <c r="C9" s="24" t="str">
        <f aca="false">'3. Performance'!C9</f>
        <v>B3</v>
      </c>
      <c r="D9" s="25" t="n">
        <f aca="false">'3. Performance'!D9</f>
        <v>0</v>
      </c>
      <c r="E9" s="29" t="str">
        <f aca="false">IF('3. Performance'!E9="","",IF('3. Performance'!G9='3. Performance'!H9,50,('3. Performance'!E9-'3. Performance'!H9)/('3. Performance'!G9-'3. Performance'!H9)*100))</f>
        <v/>
      </c>
      <c r="F9" s="29" t="str">
        <f aca="false">IF('3. Performance'!F9="","",IF('3. Performance'!G9='3. Performance'!H9,50,('3. Performance'!F9-'3. Performance'!H9)/('3. Performance'!G9-'3. Performance'!H9)*100))</f>
        <v/>
      </c>
      <c r="G9" s="30" t="str">
        <f aca="false">IF(E9="","",E9-F9)</f>
        <v/>
      </c>
    </row>
    <row r="10" customFormat="false" ht="15" hidden="false" customHeight="false" outlineLevel="0" collapsed="false">
      <c r="B10" s="18" t="n">
        <v>4</v>
      </c>
      <c r="C10" s="24" t="str">
        <f aca="false">'3. Performance'!C10</f>
        <v>B4</v>
      </c>
      <c r="D10" s="25" t="n">
        <f aca="false">'3. Performance'!D10</f>
        <v>0</v>
      </c>
      <c r="E10" s="29" t="str">
        <f aca="false">IF('3. Performance'!E10="","",IF('3. Performance'!G10='3. Performance'!H10,50,('3. Performance'!E10-'3. Performance'!H10)/('3. Performance'!G10-'3. Performance'!H10)*100))</f>
        <v/>
      </c>
      <c r="F10" s="29" t="str">
        <f aca="false">IF('3. Performance'!F10="","",IF('3. Performance'!G10='3. Performance'!H10,50,('3. Performance'!F10-'3. Performance'!H10)/('3. Performance'!G10-'3. Performance'!H10)*100))</f>
        <v/>
      </c>
      <c r="G10" s="30" t="str">
        <f aca="false">IF(E10="","",E10-F10)</f>
        <v/>
      </c>
    </row>
    <row r="11" customFormat="false" ht="15" hidden="false" customHeight="false" outlineLevel="0" collapsed="false">
      <c r="B11" s="18" t="n">
        <v>5</v>
      </c>
      <c r="C11" s="24" t="str">
        <f aca="false">'3. Performance'!C11</f>
        <v>B5</v>
      </c>
      <c r="D11" s="25" t="n">
        <f aca="false">'3. Performance'!D11</f>
        <v>0</v>
      </c>
      <c r="E11" s="29" t="str">
        <f aca="false">IF('3. Performance'!E11="","",IF('3. Performance'!G11='3. Performance'!H11,50,('3. Performance'!E11-'3. Performance'!H11)/('3. Performance'!G11-'3. Performance'!H11)*100))</f>
        <v/>
      </c>
      <c r="F11" s="29" t="str">
        <f aca="false">IF('3. Performance'!F11="","",IF('3. Performance'!G11='3. Performance'!H11,50,('3. Performance'!F11-'3. Performance'!H11)/('3. Performance'!G11-'3. Performance'!H11)*100))</f>
        <v/>
      </c>
      <c r="G11" s="30" t="str">
        <f aca="false">IF(E11="","",E11-F11)</f>
        <v/>
      </c>
    </row>
    <row r="12" customFormat="false" ht="15" hidden="false" customHeight="false" outlineLevel="0" collapsed="false">
      <c r="B12" s="18" t="n">
        <v>6</v>
      </c>
      <c r="C12" s="24" t="str">
        <f aca="false">'3. Performance'!C12</f>
        <v>B6</v>
      </c>
      <c r="D12" s="25" t="n">
        <f aca="false">'3. Performance'!D12</f>
        <v>0</v>
      </c>
      <c r="E12" s="29" t="str">
        <f aca="false">IF('3. Performance'!E12="","",IF('3. Performance'!G12='3. Performance'!H12,50,('3. Performance'!E12-'3. Performance'!H12)/('3. Performance'!G12-'3. Performance'!H12)*100))</f>
        <v/>
      </c>
      <c r="F12" s="29" t="str">
        <f aca="false">IF('3. Performance'!F12="","",IF('3. Performance'!G12='3. Performance'!H12,50,('3. Performance'!F12-'3. Performance'!H12)/('3. Performance'!G12-'3. Performance'!H12)*100))</f>
        <v/>
      </c>
      <c r="G12" s="30" t="str">
        <f aca="false">IF(E12="","",E12-F12)</f>
        <v/>
      </c>
    </row>
    <row r="13" customFormat="false" ht="15" hidden="false" customHeight="false" outlineLevel="0" collapsed="false">
      <c r="B13" s="18" t="n">
        <v>7</v>
      </c>
      <c r="C13" s="24" t="str">
        <f aca="false">'3. Performance'!C13</f>
        <v>B7</v>
      </c>
      <c r="D13" s="25" t="n">
        <f aca="false">'3. Performance'!D13</f>
        <v>0</v>
      </c>
      <c r="E13" s="29" t="str">
        <f aca="false">IF('3. Performance'!E13="","",IF('3. Performance'!G13='3. Performance'!H13,50,('3. Performance'!E13-'3. Performance'!H13)/('3. Performance'!G13-'3. Performance'!H13)*100))</f>
        <v/>
      </c>
      <c r="F13" s="29" t="str">
        <f aca="false">IF('3. Performance'!F13="","",IF('3. Performance'!G13='3. Performance'!H13,50,('3. Performance'!F13-'3. Performance'!H13)/('3. Performance'!G13-'3. Performance'!H13)*100))</f>
        <v/>
      </c>
      <c r="G13" s="30" t="str">
        <f aca="false">IF(E13="","",E13-F13)</f>
        <v/>
      </c>
    </row>
    <row r="14" customFormat="false" ht="15" hidden="false" customHeight="false" outlineLevel="0" collapsed="false">
      <c r="B14" s="18" t="n">
        <v>8</v>
      </c>
      <c r="C14" s="24" t="str">
        <f aca="false">'3. Performance'!C14</f>
        <v>B8</v>
      </c>
      <c r="D14" s="25" t="n">
        <f aca="false">'3. Performance'!D14</f>
        <v>0</v>
      </c>
      <c r="E14" s="29" t="str">
        <f aca="false">IF('3. Performance'!E14="","",IF('3. Performance'!G14='3. Performance'!H14,50,('3. Performance'!E14-'3. Performance'!H14)/('3. Performance'!G14-'3. Performance'!H14)*100))</f>
        <v/>
      </c>
      <c r="F14" s="29" t="str">
        <f aca="false">IF('3. Performance'!F14="","",IF('3. Performance'!G14='3. Performance'!H14,50,('3. Performance'!F14-'3. Performance'!H14)/('3. Performance'!G14-'3. Performance'!H14)*100))</f>
        <v/>
      </c>
      <c r="G14" s="30" t="str">
        <f aca="false">IF(E14="","",E14-F14)</f>
        <v/>
      </c>
    </row>
    <row r="16" customFormat="false" ht="15" hidden="false" customHeight="true" outlineLevel="0" collapsed="false">
      <c r="B16" s="21" t="s">
        <v>88</v>
      </c>
      <c r="C16" s="21"/>
      <c r="D16" s="21"/>
      <c r="E16" s="21"/>
      <c r="F16" s="21"/>
      <c r="G16" s="21"/>
    </row>
    <row r="17" customFormat="false" ht="30" hidden="false" customHeight="true" outlineLevel="0" collapsed="false">
      <c r="B17" s="22" t="s">
        <v>38</v>
      </c>
      <c r="C17" s="22" t="s">
        <v>39</v>
      </c>
      <c r="D17" s="22" t="s">
        <v>73</v>
      </c>
      <c r="E17" s="22" t="s">
        <v>85</v>
      </c>
      <c r="F17" s="22" t="s">
        <v>86</v>
      </c>
      <c r="G17" s="22" t="s">
        <v>87</v>
      </c>
    </row>
    <row r="18" customFormat="false" ht="15" hidden="false" customHeight="false" outlineLevel="0" collapsed="false">
      <c r="B18" s="23" t="n">
        <v>1</v>
      </c>
      <c r="C18" s="24" t="str">
        <f aca="false">'3. Performance'!C18</f>
        <v>R1</v>
      </c>
      <c r="D18" s="25" t="str">
        <f aca="false">'3. Performance'!D18</f>
        <v>Grade 3+ Neutropenia</v>
      </c>
      <c r="E18" s="29" t="n">
        <f aca="false">IF('3. Performance'!E18="","",IF('3. Performance'!G18='3. Performance'!H18,50,('3. Performance'!H18-'3. Performance'!E18)/('3. Performance'!H18-'3. Performance'!G18)*100))</f>
        <v>50</v>
      </c>
      <c r="F18" s="29" t="n">
        <f aca="false">IF('3. Performance'!F18="","",IF('3. Performance'!G18='3. Performance'!H18,50,('3. Performance'!H18-'3. Performance'!F18)/('3. Performance'!H18-'3. Performance'!G18)*100))</f>
        <v>70</v>
      </c>
      <c r="G18" s="30" t="n">
        <f aca="false">IF(E18="","",E18-F18)</f>
        <v>-20</v>
      </c>
    </row>
    <row r="19" customFormat="false" ht="15" hidden="false" customHeight="false" outlineLevel="0" collapsed="false">
      <c r="B19" s="23" t="n">
        <v>2</v>
      </c>
      <c r="C19" s="24" t="str">
        <f aca="false">'3. Performance'!C19</f>
        <v>R2</v>
      </c>
      <c r="D19" s="25" t="str">
        <f aca="false">'3. Performance'!D19</f>
        <v>Treatment Discontinuation</v>
      </c>
      <c r="E19" s="29" t="n">
        <f aca="false">IF('3. Performance'!E19="","",IF('3. Performance'!G19='3. Performance'!H19,50,('3. Performance'!H19-'3. Performance'!E19)/('3. Performance'!H19-'3. Performance'!G19)*100))</f>
        <v>60</v>
      </c>
      <c r="F19" s="29" t="n">
        <f aca="false">IF('3. Performance'!F19="","",IF('3. Performance'!G19='3. Performance'!H19,50,('3. Performance'!H19-'3. Performance'!F19)/('3. Performance'!H19-'3. Performance'!G19)*100))</f>
        <v>73.3333333333333</v>
      </c>
      <c r="G19" s="30" t="n">
        <f aca="false">IF(E19="","",E19-F19)</f>
        <v>-13.3333333333333</v>
      </c>
    </row>
    <row r="20" customFormat="false" ht="15" hidden="false" customHeight="false" outlineLevel="0" collapsed="false">
      <c r="B20" s="23" t="n">
        <v>3</v>
      </c>
      <c r="C20" s="24" t="str">
        <f aca="false">'3. Performance'!C20</f>
        <v>R3</v>
      </c>
      <c r="D20" s="25" t="n">
        <f aca="false">'3. Performance'!D20</f>
        <v>0</v>
      </c>
      <c r="E20" s="29" t="str">
        <f aca="false">IF('3. Performance'!E20="","",IF('3. Performance'!G20='3. Performance'!H20,50,('3. Performance'!H20-'3. Performance'!E20)/('3. Performance'!H20-'3. Performance'!G20)*100))</f>
        <v/>
      </c>
      <c r="F20" s="29" t="str">
        <f aca="false">IF('3. Performance'!F20="","",IF('3. Performance'!G20='3. Performance'!H20,50,('3. Performance'!H20-'3. Performance'!F20)/('3. Performance'!H20-'3. Performance'!G20)*100))</f>
        <v/>
      </c>
      <c r="G20" s="30" t="str">
        <f aca="false">IF(E20="","",E20-F20)</f>
        <v/>
      </c>
    </row>
    <row r="21" customFormat="false" ht="15" hidden="false" customHeight="false" outlineLevel="0" collapsed="false">
      <c r="B21" s="23" t="n">
        <v>4</v>
      </c>
      <c r="C21" s="24" t="str">
        <f aca="false">'3. Performance'!C21</f>
        <v>R4</v>
      </c>
      <c r="D21" s="25" t="n">
        <f aca="false">'3. Performance'!D21</f>
        <v>0</v>
      </c>
      <c r="E21" s="29" t="str">
        <f aca="false">IF('3. Performance'!E21="","",IF('3. Performance'!G21='3. Performance'!H21,50,('3. Performance'!H21-'3. Performance'!E21)/('3. Performance'!H21-'3. Performance'!G21)*100))</f>
        <v/>
      </c>
      <c r="F21" s="29" t="str">
        <f aca="false">IF('3. Performance'!F21="","",IF('3. Performance'!G21='3. Performance'!H21,50,('3. Performance'!H21-'3. Performance'!F21)/('3. Performance'!H21-'3. Performance'!G21)*100))</f>
        <v/>
      </c>
      <c r="G21" s="30" t="str">
        <f aca="false">IF(E21="","",E21-F21)</f>
        <v/>
      </c>
    </row>
    <row r="22" customFormat="false" ht="15" hidden="false" customHeight="false" outlineLevel="0" collapsed="false">
      <c r="B22" s="23" t="n">
        <v>5</v>
      </c>
      <c r="C22" s="24" t="str">
        <f aca="false">'3. Performance'!C22</f>
        <v>R5</v>
      </c>
      <c r="D22" s="25" t="n">
        <f aca="false">'3. Performance'!D22</f>
        <v>0</v>
      </c>
      <c r="E22" s="29" t="str">
        <f aca="false">IF('3. Performance'!E22="","",IF('3. Performance'!G22='3. Performance'!H22,50,('3. Performance'!H22-'3. Performance'!E22)/('3. Performance'!H22-'3. Performance'!G22)*100))</f>
        <v/>
      </c>
      <c r="F22" s="29" t="str">
        <f aca="false">IF('3. Performance'!F22="","",IF('3. Performance'!G22='3. Performance'!H22,50,('3. Performance'!H22-'3. Performance'!F22)/('3. Performance'!H22-'3. Performance'!G22)*100))</f>
        <v/>
      </c>
      <c r="G22" s="30" t="str">
        <f aca="false">IF(E22="","",E22-F22)</f>
        <v/>
      </c>
    </row>
    <row r="23" customFormat="false" ht="15" hidden="false" customHeight="false" outlineLevel="0" collapsed="false">
      <c r="B23" s="23" t="n">
        <v>6</v>
      </c>
      <c r="C23" s="24" t="str">
        <f aca="false">'3. Performance'!C23</f>
        <v>R6</v>
      </c>
      <c r="D23" s="25" t="n">
        <f aca="false">'3. Performance'!D23</f>
        <v>0</v>
      </c>
      <c r="E23" s="29" t="str">
        <f aca="false">IF('3. Performance'!E23="","",IF('3. Performance'!G23='3. Performance'!H23,50,('3. Performance'!H23-'3. Performance'!E23)/('3. Performance'!H23-'3. Performance'!G23)*100))</f>
        <v/>
      </c>
      <c r="F23" s="29" t="str">
        <f aca="false">IF('3. Performance'!F23="","",IF('3. Performance'!G23='3. Performance'!H23,50,('3. Performance'!H23-'3. Performance'!F23)/('3. Performance'!H23-'3. Performance'!G23)*100))</f>
        <v/>
      </c>
      <c r="G23" s="30" t="str">
        <f aca="false">IF(E23="","",E23-F23)</f>
        <v/>
      </c>
    </row>
    <row r="24" customFormat="false" ht="15" hidden="false" customHeight="false" outlineLevel="0" collapsed="false">
      <c r="B24" s="23" t="n">
        <v>7</v>
      </c>
      <c r="C24" s="24" t="str">
        <f aca="false">'3. Performance'!C24</f>
        <v>R7</v>
      </c>
      <c r="D24" s="25" t="n">
        <f aca="false">'3. Performance'!D24</f>
        <v>0</v>
      </c>
      <c r="E24" s="29" t="str">
        <f aca="false">IF('3. Performance'!E24="","",IF('3. Performance'!G24='3. Performance'!H24,50,('3. Performance'!H24-'3. Performance'!E24)/('3. Performance'!H24-'3. Performance'!G24)*100))</f>
        <v/>
      </c>
      <c r="F24" s="29" t="str">
        <f aca="false">IF('3. Performance'!F24="","",IF('3. Performance'!G24='3. Performance'!H24,50,('3. Performance'!H24-'3. Performance'!F24)/('3. Performance'!H24-'3. Performance'!G24)*100))</f>
        <v/>
      </c>
      <c r="G24" s="30" t="str">
        <f aca="false">IF(E24="","",E24-F24)</f>
        <v/>
      </c>
    </row>
    <row r="25" customFormat="false" ht="15" hidden="false" customHeight="false" outlineLevel="0" collapsed="false">
      <c r="B25" s="23" t="n">
        <v>8</v>
      </c>
      <c r="C25" s="24" t="str">
        <f aca="false">'3. Performance'!C25</f>
        <v>R8</v>
      </c>
      <c r="D25" s="25" t="n">
        <f aca="false">'3. Performance'!D25</f>
        <v>0</v>
      </c>
      <c r="E25" s="29" t="str">
        <f aca="false">IF('3. Performance'!E25="","",IF('3. Performance'!G25='3. Performance'!H25,50,('3. Performance'!H25-'3. Performance'!E25)/('3. Performance'!H25-'3. Performance'!G25)*100))</f>
        <v/>
      </c>
      <c r="F25" s="29" t="str">
        <f aca="false">IF('3. Performance'!F25="","",IF('3. Performance'!G25='3. Performance'!H25,50,('3. Performance'!H25-'3. Performance'!F25)/('3. Performance'!H25-'3. Performance'!G25)*100))</f>
        <v/>
      </c>
      <c r="G25" s="30" t="str">
        <f aca="false">IF(E25="","",E25-F25)</f>
        <v/>
      </c>
    </row>
  </sheetData>
  <mergeCells count="4">
    <mergeCell ref="B2:G2"/>
    <mergeCell ref="B3:G3"/>
    <mergeCell ref="B5:G5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"/>
  </cols>
  <sheetData>
    <row r="2" customFormat="false" ht="17.35" hidden="false" customHeight="true" outlineLevel="0" collapsed="false">
      <c r="B2" s="8" t="s">
        <v>89</v>
      </c>
      <c r="C2" s="8"/>
      <c r="D2" s="8"/>
      <c r="E2" s="8"/>
      <c r="F2" s="8"/>
    </row>
    <row r="3" customFormat="false" ht="22.35" hidden="false" customHeight="true" outlineLevel="0" collapsed="false">
      <c r="B3" s="15" t="s">
        <v>90</v>
      </c>
      <c r="C3" s="15"/>
      <c r="D3" s="15"/>
      <c r="E3" s="15"/>
      <c r="F3" s="15"/>
    </row>
    <row r="5" customFormat="false" ht="15" hidden="false" customHeight="true" outlineLevel="0" collapsed="false">
      <c r="B5" s="16" t="s">
        <v>91</v>
      </c>
      <c r="C5" s="16"/>
      <c r="D5" s="16"/>
      <c r="E5" s="16"/>
      <c r="F5" s="16"/>
    </row>
    <row r="6" customFormat="false" ht="15" hidden="false" customHeight="false" outlineLevel="0" collapsed="false">
      <c r="B6" s="17" t="s">
        <v>38</v>
      </c>
      <c r="C6" s="17" t="s">
        <v>39</v>
      </c>
      <c r="D6" s="17" t="s">
        <v>73</v>
      </c>
      <c r="E6" s="17" t="s">
        <v>92</v>
      </c>
      <c r="F6" s="17" t="s">
        <v>93</v>
      </c>
    </row>
    <row r="7" customFormat="false" ht="15" hidden="false" customHeight="false" outlineLevel="0" collapsed="false">
      <c r="B7" s="18" t="n">
        <v>1</v>
      </c>
      <c r="C7" s="24" t="str">
        <f aca="false">'2. Criteria'!C7</f>
        <v>B1</v>
      </c>
      <c r="D7" s="25" t="str">
        <f aca="false">'2. Criteria'!D7</f>
        <v>Overall Response Rate</v>
      </c>
      <c r="E7" s="31" t="n">
        <v>50</v>
      </c>
      <c r="F7" s="28"/>
    </row>
    <row r="8" customFormat="false" ht="15" hidden="false" customHeight="false" outlineLevel="0" collapsed="false">
      <c r="B8" s="18" t="n">
        <v>2</v>
      </c>
      <c r="C8" s="24" t="str">
        <f aca="false">'2. Criteria'!C8</f>
        <v>B2</v>
      </c>
      <c r="D8" s="25" t="str">
        <f aca="false">'2. Criteria'!D8</f>
        <v>Progression-Free Survival</v>
      </c>
      <c r="E8" s="31" t="n">
        <v>50</v>
      </c>
      <c r="F8" s="28"/>
    </row>
    <row r="9" customFormat="false" ht="15" hidden="false" customHeight="false" outlineLevel="0" collapsed="false">
      <c r="B9" s="18" t="n">
        <v>3</v>
      </c>
      <c r="C9" s="24" t="str">
        <f aca="false">'2. Criteria'!C9</f>
        <v>B3</v>
      </c>
      <c r="D9" s="25" t="n">
        <f aca="false">'2. Criteria'!D9</f>
        <v>0</v>
      </c>
      <c r="E9" s="32"/>
      <c r="F9" s="28"/>
    </row>
    <row r="10" customFormat="false" ht="15" hidden="false" customHeight="false" outlineLevel="0" collapsed="false">
      <c r="B10" s="18" t="n">
        <v>4</v>
      </c>
      <c r="C10" s="24" t="str">
        <f aca="false">'2. Criteria'!C10</f>
        <v>B4</v>
      </c>
      <c r="D10" s="25" t="n">
        <f aca="false">'2. Criteria'!D10</f>
        <v>0</v>
      </c>
      <c r="E10" s="32"/>
      <c r="F10" s="28"/>
    </row>
    <row r="11" customFormat="false" ht="15" hidden="false" customHeight="false" outlineLevel="0" collapsed="false">
      <c r="B11" s="18" t="n">
        <v>5</v>
      </c>
      <c r="C11" s="24" t="str">
        <f aca="false">'2. Criteria'!C11</f>
        <v>B5</v>
      </c>
      <c r="D11" s="25" t="n">
        <f aca="false">'2. Criteria'!D11</f>
        <v>0</v>
      </c>
      <c r="E11" s="32"/>
      <c r="F11" s="28"/>
    </row>
    <row r="12" customFormat="false" ht="15" hidden="false" customHeight="false" outlineLevel="0" collapsed="false">
      <c r="B12" s="18" t="n">
        <v>6</v>
      </c>
      <c r="C12" s="24" t="str">
        <f aca="false">'2. Criteria'!C12</f>
        <v>B6</v>
      </c>
      <c r="D12" s="25" t="n">
        <f aca="false">'2. Criteria'!D12</f>
        <v>0</v>
      </c>
      <c r="E12" s="32"/>
      <c r="F12" s="28"/>
    </row>
    <row r="13" customFormat="false" ht="15" hidden="false" customHeight="false" outlineLevel="0" collapsed="false">
      <c r="B13" s="18" t="n">
        <v>7</v>
      </c>
      <c r="C13" s="24" t="str">
        <f aca="false">'2. Criteria'!C13</f>
        <v>B7</v>
      </c>
      <c r="D13" s="25" t="n">
        <f aca="false">'2. Criteria'!D13</f>
        <v>0</v>
      </c>
      <c r="E13" s="32"/>
      <c r="F13" s="28"/>
    </row>
    <row r="14" customFormat="false" ht="15" hidden="false" customHeight="false" outlineLevel="0" collapsed="false">
      <c r="B14" s="18" t="n">
        <v>8</v>
      </c>
      <c r="C14" s="24" t="str">
        <f aca="false">'2. Criteria'!C14</f>
        <v>B8</v>
      </c>
      <c r="D14" s="25" t="n">
        <f aca="false">'2. Criteria'!D14</f>
        <v>0</v>
      </c>
      <c r="E14" s="32"/>
      <c r="F14" s="28"/>
    </row>
    <row r="15" customFormat="false" ht="15" hidden="false" customHeight="false" outlineLevel="0" collapsed="false">
      <c r="D15" s="33" t="s">
        <v>94</v>
      </c>
      <c r="E15" s="34" t="n">
        <f aca="false">SUM(E7:E14)</f>
        <v>100</v>
      </c>
      <c r="F15" s="35" t="str">
        <f aca="false">IF(E15=100,"✓ Valid","⚠ Must = 100%")</f>
        <v>✓ Valid</v>
      </c>
    </row>
    <row r="17" customFormat="false" ht="15" hidden="false" customHeight="true" outlineLevel="0" collapsed="false">
      <c r="B17" s="21" t="s">
        <v>95</v>
      </c>
      <c r="C17" s="21"/>
      <c r="D17" s="21"/>
      <c r="E17" s="21"/>
      <c r="F17" s="21"/>
    </row>
    <row r="18" customFormat="false" ht="15" hidden="false" customHeight="false" outlineLevel="0" collapsed="false">
      <c r="B18" s="22" t="s">
        <v>38</v>
      </c>
      <c r="C18" s="22" t="s">
        <v>39</v>
      </c>
      <c r="D18" s="22" t="s">
        <v>73</v>
      </c>
      <c r="E18" s="22" t="s">
        <v>92</v>
      </c>
      <c r="F18" s="22" t="s">
        <v>93</v>
      </c>
    </row>
    <row r="19" customFormat="false" ht="15" hidden="false" customHeight="false" outlineLevel="0" collapsed="false">
      <c r="B19" s="23" t="n">
        <v>1</v>
      </c>
      <c r="C19" s="24" t="str">
        <f aca="false">'2. Criteria'!C18</f>
        <v>R1</v>
      </c>
      <c r="D19" s="25" t="str">
        <f aca="false">'2. Criteria'!D18</f>
        <v>Grade 3+ Neutropenia</v>
      </c>
      <c r="E19" s="31" t="n">
        <v>60</v>
      </c>
      <c r="F19" s="28"/>
    </row>
    <row r="20" customFormat="false" ht="15" hidden="false" customHeight="false" outlineLevel="0" collapsed="false">
      <c r="B20" s="23" t="n">
        <v>2</v>
      </c>
      <c r="C20" s="24" t="str">
        <f aca="false">'2. Criteria'!C19</f>
        <v>R2</v>
      </c>
      <c r="D20" s="25" t="str">
        <f aca="false">'2. Criteria'!D19</f>
        <v>Treatment Discontinuation</v>
      </c>
      <c r="E20" s="31" t="n">
        <v>40</v>
      </c>
      <c r="F20" s="28"/>
    </row>
    <row r="21" customFormat="false" ht="15" hidden="false" customHeight="false" outlineLevel="0" collapsed="false">
      <c r="B21" s="23" t="n">
        <v>3</v>
      </c>
      <c r="C21" s="24" t="str">
        <f aca="false">'2. Criteria'!C20</f>
        <v>R3</v>
      </c>
      <c r="D21" s="25" t="n">
        <f aca="false">'2. Criteria'!D20</f>
        <v>0</v>
      </c>
      <c r="E21" s="32"/>
      <c r="F21" s="28"/>
    </row>
    <row r="22" customFormat="false" ht="15" hidden="false" customHeight="false" outlineLevel="0" collapsed="false">
      <c r="B22" s="23" t="n">
        <v>4</v>
      </c>
      <c r="C22" s="24" t="str">
        <f aca="false">'2. Criteria'!C21</f>
        <v>R4</v>
      </c>
      <c r="D22" s="25" t="n">
        <f aca="false">'2. Criteria'!D21</f>
        <v>0</v>
      </c>
      <c r="E22" s="32"/>
      <c r="F22" s="28"/>
    </row>
    <row r="23" customFormat="false" ht="15" hidden="false" customHeight="false" outlineLevel="0" collapsed="false">
      <c r="B23" s="23" t="n">
        <v>5</v>
      </c>
      <c r="C23" s="24" t="str">
        <f aca="false">'2. Criteria'!C22</f>
        <v>R5</v>
      </c>
      <c r="D23" s="25" t="n">
        <f aca="false">'2. Criteria'!D22</f>
        <v>0</v>
      </c>
      <c r="E23" s="32"/>
      <c r="F23" s="28"/>
    </row>
    <row r="24" customFormat="false" ht="15" hidden="false" customHeight="false" outlineLevel="0" collapsed="false">
      <c r="B24" s="23" t="n">
        <v>6</v>
      </c>
      <c r="C24" s="24" t="str">
        <f aca="false">'2. Criteria'!C23</f>
        <v>R6</v>
      </c>
      <c r="D24" s="25" t="n">
        <f aca="false">'2. Criteria'!D23</f>
        <v>0</v>
      </c>
      <c r="E24" s="32"/>
      <c r="F24" s="28"/>
    </row>
    <row r="25" customFormat="false" ht="15" hidden="false" customHeight="false" outlineLevel="0" collapsed="false">
      <c r="B25" s="23" t="n">
        <v>7</v>
      </c>
      <c r="C25" s="24" t="str">
        <f aca="false">'2. Criteria'!C24</f>
        <v>R7</v>
      </c>
      <c r="D25" s="25" t="n">
        <f aca="false">'2. Criteria'!D24</f>
        <v>0</v>
      </c>
      <c r="E25" s="32"/>
      <c r="F25" s="28"/>
    </row>
    <row r="26" customFormat="false" ht="15" hidden="false" customHeight="false" outlineLevel="0" collapsed="false">
      <c r="B26" s="23" t="n">
        <v>8</v>
      </c>
      <c r="C26" s="24" t="str">
        <f aca="false">'2. Criteria'!C25</f>
        <v>R8</v>
      </c>
      <c r="D26" s="25" t="n">
        <f aca="false">'2. Criteria'!D25</f>
        <v>0</v>
      </c>
      <c r="E26" s="32"/>
      <c r="F26" s="28"/>
    </row>
    <row r="27" customFormat="false" ht="15" hidden="false" customHeight="false" outlineLevel="0" collapsed="false">
      <c r="D27" s="33" t="s">
        <v>94</v>
      </c>
      <c r="E27" s="34" t="n">
        <f aca="false">SUM(E19:E26)</f>
        <v>100</v>
      </c>
      <c r="F27" s="35" t="str">
        <f aca="false">IF(E27=100,"✓ Valid","⚠ Must = 100%")</f>
        <v>✓ Valid</v>
      </c>
    </row>
    <row r="29" customFormat="false" ht="15" hidden="false" customHeight="true" outlineLevel="0" collapsed="false">
      <c r="B29" s="36" t="s">
        <v>96</v>
      </c>
      <c r="C29" s="36"/>
      <c r="D29" s="36"/>
      <c r="E29" s="36"/>
      <c r="F29" s="36"/>
    </row>
    <row r="30" customFormat="false" ht="15" hidden="false" customHeight="false" outlineLevel="0" collapsed="false">
      <c r="D30" s="37" t="s">
        <v>97</v>
      </c>
      <c r="E30" s="31" t="n">
        <v>50</v>
      </c>
      <c r="F30" s="13" t="s">
        <v>98</v>
      </c>
    </row>
    <row r="31" customFormat="false" ht="15" hidden="false" customHeight="false" outlineLevel="0" collapsed="false">
      <c r="D31" s="37" t="s">
        <v>99</v>
      </c>
      <c r="E31" s="29" t="n">
        <f aca="false">100-E30</f>
        <v>50</v>
      </c>
      <c r="F31" s="13" t="s">
        <v>100</v>
      </c>
    </row>
  </sheetData>
  <mergeCells count="5">
    <mergeCell ref="B2:F2"/>
    <mergeCell ref="B3:F3"/>
    <mergeCell ref="B5:F5"/>
    <mergeCell ref="B17:F17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0" min="10" style="0" width="3"/>
  </cols>
  <sheetData>
    <row r="2" customFormat="false" ht="17.35" hidden="false" customHeight="true" outlineLevel="0" collapsed="false">
      <c r="B2" s="8" t="s">
        <v>101</v>
      </c>
      <c r="C2" s="8"/>
      <c r="D2" s="8"/>
      <c r="E2" s="8"/>
      <c r="F2" s="8"/>
      <c r="G2" s="8"/>
      <c r="H2" s="8"/>
      <c r="I2" s="8"/>
    </row>
    <row r="3" customFormat="false" ht="15" hidden="false" customHeight="true" outlineLevel="0" collapsed="false">
      <c r="B3" s="15" t="s">
        <v>102</v>
      </c>
      <c r="C3" s="15"/>
      <c r="D3" s="15"/>
      <c r="E3" s="15"/>
      <c r="F3" s="15"/>
      <c r="G3" s="15"/>
      <c r="H3" s="15"/>
      <c r="I3" s="15"/>
    </row>
    <row r="5" customFormat="false" ht="15" hidden="false" customHeight="true" outlineLevel="0" collapsed="false">
      <c r="B5" s="16" t="s">
        <v>103</v>
      </c>
      <c r="C5" s="16"/>
      <c r="D5" s="16"/>
      <c r="E5" s="16"/>
      <c r="F5" s="16"/>
      <c r="G5" s="16"/>
      <c r="H5" s="16"/>
      <c r="I5" s="16"/>
    </row>
    <row r="6" customFormat="false" ht="30" hidden="false" customHeight="true" outlineLevel="0" collapsed="false">
      <c r="B6" s="17" t="s">
        <v>38</v>
      </c>
      <c r="C6" s="17" t="s">
        <v>39</v>
      </c>
      <c r="D6" s="17" t="s">
        <v>73</v>
      </c>
      <c r="E6" s="17" t="s">
        <v>104</v>
      </c>
      <c r="F6" s="17" t="s">
        <v>85</v>
      </c>
      <c r="G6" s="17" t="s">
        <v>105</v>
      </c>
      <c r="H6" s="17" t="s">
        <v>106</v>
      </c>
      <c r="I6" s="17" t="s">
        <v>107</v>
      </c>
    </row>
    <row r="7" customFormat="false" ht="15" hidden="false" customHeight="false" outlineLevel="0" collapsed="false">
      <c r="B7" s="18" t="n">
        <v>1</v>
      </c>
      <c r="C7" s="24" t="str">
        <f aca="false">'4. Scoring'!C7</f>
        <v>B1</v>
      </c>
      <c r="D7" s="25" t="str">
        <f aca="false">'4. Scoring'!D7</f>
        <v>Overall Response Rate</v>
      </c>
      <c r="E7" s="38" t="n">
        <f aca="false">IF('5. Weighting'!E7="","",'5. Weighting'!E7/100)</f>
        <v>0.5</v>
      </c>
      <c r="F7" s="29" t="n">
        <f aca="false">'4. Scoring'!E7</f>
        <v>45</v>
      </c>
      <c r="G7" s="29" t="n">
        <f aca="false">'4. Scoring'!F7</f>
        <v>30</v>
      </c>
      <c r="H7" s="39" t="n">
        <f aca="false">IF(OR(E7="",F7=""),"",E7*F7)</f>
        <v>22.5</v>
      </c>
      <c r="I7" s="39" t="n">
        <f aca="false">IF(OR(E7="",G7=""),"",E7*G7)</f>
        <v>15</v>
      </c>
    </row>
    <row r="8" customFormat="false" ht="15" hidden="false" customHeight="false" outlineLevel="0" collapsed="false">
      <c r="B8" s="18" t="n">
        <v>2</v>
      </c>
      <c r="C8" s="24" t="str">
        <f aca="false">'4. Scoring'!C8</f>
        <v>B2</v>
      </c>
      <c r="D8" s="25" t="str">
        <f aca="false">'4. Scoring'!D8</f>
        <v>Progression-Free Survival</v>
      </c>
      <c r="E8" s="38" t="n">
        <f aca="false">IF('5. Weighting'!E8="","",'5. Weighting'!E8/100)</f>
        <v>0.5</v>
      </c>
      <c r="F8" s="29" t="n">
        <f aca="false">'4. Scoring'!E8</f>
        <v>52.0833333333333</v>
      </c>
      <c r="G8" s="29" t="n">
        <f aca="false">'4. Scoring'!F8</f>
        <v>34.1666666666667</v>
      </c>
      <c r="H8" s="39" t="n">
        <f aca="false">IF(OR(E8="",F8=""),"",E8*F8)</f>
        <v>26.0416666666667</v>
      </c>
      <c r="I8" s="39" t="n">
        <f aca="false">IF(OR(E8="",G8=""),"",E8*G8)</f>
        <v>17.0833333333333</v>
      </c>
    </row>
    <row r="9" customFormat="false" ht="15" hidden="false" customHeight="false" outlineLevel="0" collapsed="false">
      <c r="B9" s="18" t="n">
        <v>3</v>
      </c>
      <c r="C9" s="24" t="str">
        <f aca="false">'4. Scoring'!C9</f>
        <v>B3</v>
      </c>
      <c r="D9" s="25" t="n">
        <f aca="false">'4. Scoring'!D9</f>
        <v>0</v>
      </c>
      <c r="E9" s="38" t="str">
        <f aca="false">IF('5. Weighting'!E9="","",'5. Weighting'!E9/100)</f>
        <v/>
      </c>
      <c r="F9" s="29" t="str">
        <f aca="false">'4. Scoring'!E9</f>
        <v/>
      </c>
      <c r="G9" s="29" t="str">
        <f aca="false">'4. Scoring'!F9</f>
        <v/>
      </c>
      <c r="H9" s="39" t="str">
        <f aca="false">IF(OR(E9="",F9=""),"",E9*F9)</f>
        <v/>
      </c>
      <c r="I9" s="39" t="str">
        <f aca="false">IF(OR(E9="",G9=""),"",E9*G9)</f>
        <v/>
      </c>
    </row>
    <row r="10" customFormat="false" ht="15" hidden="false" customHeight="false" outlineLevel="0" collapsed="false">
      <c r="B10" s="18" t="n">
        <v>4</v>
      </c>
      <c r="C10" s="24" t="str">
        <f aca="false">'4. Scoring'!C10</f>
        <v>B4</v>
      </c>
      <c r="D10" s="25" t="n">
        <f aca="false">'4. Scoring'!D10</f>
        <v>0</v>
      </c>
      <c r="E10" s="38" t="str">
        <f aca="false">IF('5. Weighting'!E10="","",'5. Weighting'!E10/100)</f>
        <v/>
      </c>
      <c r="F10" s="29" t="str">
        <f aca="false">'4. Scoring'!E10</f>
        <v/>
      </c>
      <c r="G10" s="29" t="str">
        <f aca="false">'4. Scoring'!F10</f>
        <v/>
      </c>
      <c r="H10" s="39" t="str">
        <f aca="false">IF(OR(E10="",F10=""),"",E10*F10)</f>
        <v/>
      </c>
      <c r="I10" s="39" t="str">
        <f aca="false">IF(OR(E10="",G10=""),"",E10*G10)</f>
        <v/>
      </c>
    </row>
    <row r="11" customFormat="false" ht="15" hidden="false" customHeight="false" outlineLevel="0" collapsed="false">
      <c r="B11" s="18" t="n">
        <v>5</v>
      </c>
      <c r="C11" s="24" t="str">
        <f aca="false">'4. Scoring'!C11</f>
        <v>B5</v>
      </c>
      <c r="D11" s="25" t="n">
        <f aca="false">'4. Scoring'!D11</f>
        <v>0</v>
      </c>
      <c r="E11" s="38" t="str">
        <f aca="false">IF('5. Weighting'!E11="","",'5. Weighting'!E11/100)</f>
        <v/>
      </c>
      <c r="F11" s="29" t="str">
        <f aca="false">'4. Scoring'!E11</f>
        <v/>
      </c>
      <c r="G11" s="29" t="str">
        <f aca="false">'4. Scoring'!F11</f>
        <v/>
      </c>
      <c r="H11" s="39" t="str">
        <f aca="false">IF(OR(E11="",F11=""),"",E11*F11)</f>
        <v/>
      </c>
      <c r="I11" s="39" t="str">
        <f aca="false">IF(OR(E11="",G11=""),"",E11*G11)</f>
        <v/>
      </c>
    </row>
    <row r="12" customFormat="false" ht="15" hidden="false" customHeight="false" outlineLevel="0" collapsed="false">
      <c r="B12" s="18" t="n">
        <v>6</v>
      </c>
      <c r="C12" s="24" t="str">
        <f aca="false">'4. Scoring'!C12</f>
        <v>B6</v>
      </c>
      <c r="D12" s="25" t="n">
        <f aca="false">'4. Scoring'!D12</f>
        <v>0</v>
      </c>
      <c r="E12" s="38" t="str">
        <f aca="false">IF('5. Weighting'!E12="","",'5. Weighting'!E12/100)</f>
        <v/>
      </c>
      <c r="F12" s="29" t="str">
        <f aca="false">'4. Scoring'!E12</f>
        <v/>
      </c>
      <c r="G12" s="29" t="str">
        <f aca="false">'4. Scoring'!F12</f>
        <v/>
      </c>
      <c r="H12" s="39" t="str">
        <f aca="false">IF(OR(E12="",F12=""),"",E12*F12)</f>
        <v/>
      </c>
      <c r="I12" s="39" t="str">
        <f aca="false">IF(OR(E12="",G12=""),"",E12*G12)</f>
        <v/>
      </c>
    </row>
    <row r="13" customFormat="false" ht="15" hidden="false" customHeight="false" outlineLevel="0" collapsed="false">
      <c r="B13" s="18" t="n">
        <v>7</v>
      </c>
      <c r="C13" s="24" t="str">
        <f aca="false">'4. Scoring'!C13</f>
        <v>B7</v>
      </c>
      <c r="D13" s="25" t="n">
        <f aca="false">'4. Scoring'!D13</f>
        <v>0</v>
      </c>
      <c r="E13" s="38" t="str">
        <f aca="false">IF('5. Weighting'!E13="","",'5. Weighting'!E13/100)</f>
        <v/>
      </c>
      <c r="F13" s="29" t="str">
        <f aca="false">'4. Scoring'!E13</f>
        <v/>
      </c>
      <c r="G13" s="29" t="str">
        <f aca="false">'4. Scoring'!F13</f>
        <v/>
      </c>
      <c r="H13" s="39" t="str">
        <f aca="false">IF(OR(E13="",F13=""),"",E13*F13)</f>
        <v/>
      </c>
      <c r="I13" s="39" t="str">
        <f aca="false">IF(OR(E13="",G13=""),"",E13*G13)</f>
        <v/>
      </c>
    </row>
    <row r="14" customFormat="false" ht="15" hidden="false" customHeight="false" outlineLevel="0" collapsed="false">
      <c r="B14" s="18" t="n">
        <v>8</v>
      </c>
      <c r="C14" s="24" t="str">
        <f aca="false">'4. Scoring'!C14</f>
        <v>B8</v>
      </c>
      <c r="D14" s="25" t="n">
        <f aca="false">'4. Scoring'!D14</f>
        <v>0</v>
      </c>
      <c r="E14" s="38" t="str">
        <f aca="false">IF('5. Weighting'!E14="","",'5. Weighting'!E14/100)</f>
        <v/>
      </c>
      <c r="F14" s="29" t="str">
        <f aca="false">'4. Scoring'!E14</f>
        <v/>
      </c>
      <c r="G14" s="29" t="str">
        <f aca="false">'4. Scoring'!F14</f>
        <v/>
      </c>
      <c r="H14" s="39" t="str">
        <f aca="false">IF(OR(E14="",F14=""),"",E14*F14)</f>
        <v/>
      </c>
      <c r="I14" s="39" t="str">
        <f aca="false">IF(OR(E14="",G14=""),"",E14*G14)</f>
        <v/>
      </c>
    </row>
    <row r="15" customFormat="false" ht="15" hidden="false" customHeight="false" outlineLevel="0" collapsed="false">
      <c r="D15" s="40" t="s">
        <v>108</v>
      </c>
      <c r="E15" s="41" t="n">
        <f aca="false">SUM(E7:E14)</f>
        <v>1</v>
      </c>
      <c r="F15" s="42"/>
      <c r="G15" s="42"/>
      <c r="H15" s="43" t="n">
        <f aca="false">SUM(H7:H14)</f>
        <v>48.5416666666667</v>
      </c>
      <c r="I15" s="43" t="n">
        <f aca="false">SUM(I7:I14)</f>
        <v>32.0833333333333</v>
      </c>
    </row>
    <row r="17" customFormat="false" ht="15" hidden="false" customHeight="true" outlineLevel="0" collapsed="false">
      <c r="B17" s="21" t="s">
        <v>109</v>
      </c>
      <c r="C17" s="21"/>
      <c r="D17" s="21"/>
      <c r="E17" s="21"/>
      <c r="F17" s="21"/>
      <c r="G17" s="21"/>
      <c r="H17" s="21"/>
      <c r="I17" s="21"/>
    </row>
    <row r="18" customFormat="false" ht="30" hidden="false" customHeight="true" outlineLevel="0" collapsed="false">
      <c r="B18" s="22" t="s">
        <v>38</v>
      </c>
      <c r="C18" s="22" t="s">
        <v>39</v>
      </c>
      <c r="D18" s="22" t="s">
        <v>73</v>
      </c>
      <c r="E18" s="22" t="s">
        <v>104</v>
      </c>
      <c r="F18" s="22" t="s">
        <v>85</v>
      </c>
      <c r="G18" s="22" t="s">
        <v>105</v>
      </c>
      <c r="H18" s="22" t="s">
        <v>106</v>
      </c>
      <c r="I18" s="22" t="s">
        <v>107</v>
      </c>
    </row>
    <row r="19" customFormat="false" ht="15" hidden="false" customHeight="false" outlineLevel="0" collapsed="false">
      <c r="B19" s="23" t="n">
        <v>1</v>
      </c>
      <c r="C19" s="24" t="str">
        <f aca="false">'4. Scoring'!C18</f>
        <v>R1</v>
      </c>
      <c r="D19" s="25" t="str">
        <f aca="false">'4. Scoring'!D18</f>
        <v>Grade 3+ Neutropenia</v>
      </c>
      <c r="E19" s="38" t="n">
        <f aca="false">IF('5. Weighting'!E19="","",'5. Weighting'!E19/100)</f>
        <v>0.6</v>
      </c>
      <c r="F19" s="29" t="n">
        <f aca="false">'4. Scoring'!E18</f>
        <v>50</v>
      </c>
      <c r="G19" s="29" t="n">
        <f aca="false">'4. Scoring'!F18</f>
        <v>70</v>
      </c>
      <c r="H19" s="39" t="n">
        <f aca="false">IF(OR(E19="",F19=""),"",E19*F19)</f>
        <v>30</v>
      </c>
      <c r="I19" s="39" t="n">
        <f aca="false">IF(OR(E19="",G19=""),"",E19*G19)</f>
        <v>42</v>
      </c>
    </row>
    <row r="20" customFormat="false" ht="15" hidden="false" customHeight="false" outlineLevel="0" collapsed="false">
      <c r="B20" s="23" t="n">
        <v>2</v>
      </c>
      <c r="C20" s="24" t="str">
        <f aca="false">'4. Scoring'!C19</f>
        <v>R2</v>
      </c>
      <c r="D20" s="25" t="str">
        <f aca="false">'4. Scoring'!D19</f>
        <v>Treatment Discontinuation</v>
      </c>
      <c r="E20" s="38" t="n">
        <f aca="false">IF('5. Weighting'!E20="","",'5. Weighting'!E20/100)</f>
        <v>0.4</v>
      </c>
      <c r="F20" s="29" t="n">
        <f aca="false">'4. Scoring'!E19</f>
        <v>60</v>
      </c>
      <c r="G20" s="29" t="n">
        <f aca="false">'4. Scoring'!F19</f>
        <v>73.3333333333333</v>
      </c>
      <c r="H20" s="39" t="n">
        <f aca="false">IF(OR(E20="",F20=""),"",E20*F20)</f>
        <v>24</v>
      </c>
      <c r="I20" s="39" t="n">
        <f aca="false">IF(OR(E20="",G20=""),"",E20*G20)</f>
        <v>29.3333333333333</v>
      </c>
    </row>
    <row r="21" customFormat="false" ht="15" hidden="false" customHeight="false" outlineLevel="0" collapsed="false">
      <c r="B21" s="23" t="n">
        <v>3</v>
      </c>
      <c r="C21" s="24" t="str">
        <f aca="false">'4. Scoring'!C20</f>
        <v>R3</v>
      </c>
      <c r="D21" s="25" t="n">
        <f aca="false">'4. Scoring'!D20</f>
        <v>0</v>
      </c>
      <c r="E21" s="38" t="str">
        <f aca="false">IF('5. Weighting'!E21="","",'5. Weighting'!E21/100)</f>
        <v/>
      </c>
      <c r="F21" s="29" t="str">
        <f aca="false">'4. Scoring'!E20</f>
        <v/>
      </c>
      <c r="G21" s="29" t="str">
        <f aca="false">'4. Scoring'!F20</f>
        <v/>
      </c>
      <c r="H21" s="39" t="str">
        <f aca="false">IF(OR(E21="",F21=""),"",E21*F21)</f>
        <v/>
      </c>
      <c r="I21" s="39" t="str">
        <f aca="false">IF(OR(E21="",G21=""),"",E21*G21)</f>
        <v/>
      </c>
    </row>
    <row r="22" customFormat="false" ht="15" hidden="false" customHeight="false" outlineLevel="0" collapsed="false">
      <c r="B22" s="23" t="n">
        <v>4</v>
      </c>
      <c r="C22" s="24" t="str">
        <f aca="false">'4. Scoring'!C21</f>
        <v>R4</v>
      </c>
      <c r="D22" s="25" t="n">
        <f aca="false">'4. Scoring'!D21</f>
        <v>0</v>
      </c>
      <c r="E22" s="38" t="str">
        <f aca="false">IF('5. Weighting'!E22="","",'5. Weighting'!E22/100)</f>
        <v/>
      </c>
      <c r="F22" s="29" t="str">
        <f aca="false">'4. Scoring'!E21</f>
        <v/>
      </c>
      <c r="G22" s="29" t="str">
        <f aca="false">'4. Scoring'!F21</f>
        <v/>
      </c>
      <c r="H22" s="39" t="str">
        <f aca="false">IF(OR(E22="",F22=""),"",E22*F22)</f>
        <v/>
      </c>
      <c r="I22" s="39" t="str">
        <f aca="false">IF(OR(E22="",G22=""),"",E22*G22)</f>
        <v/>
      </c>
    </row>
    <row r="23" customFormat="false" ht="15" hidden="false" customHeight="false" outlineLevel="0" collapsed="false">
      <c r="B23" s="23" t="n">
        <v>5</v>
      </c>
      <c r="C23" s="24" t="str">
        <f aca="false">'4. Scoring'!C22</f>
        <v>R5</v>
      </c>
      <c r="D23" s="25" t="n">
        <f aca="false">'4. Scoring'!D22</f>
        <v>0</v>
      </c>
      <c r="E23" s="38" t="str">
        <f aca="false">IF('5. Weighting'!E23="","",'5. Weighting'!E23/100)</f>
        <v/>
      </c>
      <c r="F23" s="29" t="str">
        <f aca="false">'4. Scoring'!E22</f>
        <v/>
      </c>
      <c r="G23" s="29" t="str">
        <f aca="false">'4. Scoring'!F22</f>
        <v/>
      </c>
      <c r="H23" s="39" t="str">
        <f aca="false">IF(OR(E23="",F23=""),"",E23*F23)</f>
        <v/>
      </c>
      <c r="I23" s="39" t="str">
        <f aca="false">IF(OR(E23="",G23=""),"",E23*G23)</f>
        <v/>
      </c>
    </row>
    <row r="24" customFormat="false" ht="15" hidden="false" customHeight="false" outlineLevel="0" collapsed="false">
      <c r="B24" s="23" t="n">
        <v>6</v>
      </c>
      <c r="C24" s="24" t="str">
        <f aca="false">'4. Scoring'!C23</f>
        <v>R6</v>
      </c>
      <c r="D24" s="25" t="n">
        <f aca="false">'4. Scoring'!D23</f>
        <v>0</v>
      </c>
      <c r="E24" s="38" t="str">
        <f aca="false">IF('5. Weighting'!E24="","",'5. Weighting'!E24/100)</f>
        <v/>
      </c>
      <c r="F24" s="29" t="str">
        <f aca="false">'4. Scoring'!E23</f>
        <v/>
      </c>
      <c r="G24" s="29" t="str">
        <f aca="false">'4. Scoring'!F23</f>
        <v/>
      </c>
      <c r="H24" s="39" t="str">
        <f aca="false">IF(OR(E24="",F24=""),"",E24*F24)</f>
        <v/>
      </c>
      <c r="I24" s="39" t="str">
        <f aca="false">IF(OR(E24="",G24=""),"",E24*G24)</f>
        <v/>
      </c>
    </row>
    <row r="25" customFormat="false" ht="15" hidden="false" customHeight="false" outlineLevel="0" collapsed="false">
      <c r="B25" s="23" t="n">
        <v>7</v>
      </c>
      <c r="C25" s="24" t="str">
        <f aca="false">'4. Scoring'!C24</f>
        <v>R7</v>
      </c>
      <c r="D25" s="25" t="n">
        <f aca="false">'4. Scoring'!D24</f>
        <v>0</v>
      </c>
      <c r="E25" s="38" t="str">
        <f aca="false">IF('5. Weighting'!E25="","",'5. Weighting'!E25/100)</f>
        <v/>
      </c>
      <c r="F25" s="29" t="str">
        <f aca="false">'4. Scoring'!E24</f>
        <v/>
      </c>
      <c r="G25" s="29" t="str">
        <f aca="false">'4. Scoring'!F24</f>
        <v/>
      </c>
      <c r="H25" s="39" t="str">
        <f aca="false">IF(OR(E25="",F25=""),"",E25*F25)</f>
        <v/>
      </c>
      <c r="I25" s="39" t="str">
        <f aca="false">IF(OR(E25="",G25=""),"",E25*G25)</f>
        <v/>
      </c>
    </row>
    <row r="26" customFormat="false" ht="15" hidden="false" customHeight="false" outlineLevel="0" collapsed="false">
      <c r="B26" s="23" t="n">
        <v>8</v>
      </c>
      <c r="C26" s="24" t="str">
        <f aca="false">'4. Scoring'!C25</f>
        <v>R8</v>
      </c>
      <c r="D26" s="25" t="n">
        <f aca="false">'4. Scoring'!D25</f>
        <v>0</v>
      </c>
      <c r="E26" s="38" t="str">
        <f aca="false">IF('5. Weighting'!E26="","",'5. Weighting'!E26/100)</f>
        <v/>
      </c>
      <c r="F26" s="29" t="str">
        <f aca="false">'4. Scoring'!E25</f>
        <v/>
      </c>
      <c r="G26" s="29" t="str">
        <f aca="false">'4. Scoring'!F25</f>
        <v/>
      </c>
      <c r="H26" s="39" t="str">
        <f aca="false">IF(OR(E26="",F26=""),"",E26*F26)</f>
        <v/>
      </c>
      <c r="I26" s="39" t="str">
        <f aca="false">IF(OR(E26="",G26=""),"",E26*G26)</f>
        <v/>
      </c>
    </row>
    <row r="27" customFormat="false" ht="15" hidden="false" customHeight="false" outlineLevel="0" collapsed="false">
      <c r="D27" s="44" t="s">
        <v>110</v>
      </c>
      <c r="E27" s="45" t="n">
        <f aca="false">SUM(E19:E26)</f>
        <v>1</v>
      </c>
      <c r="F27" s="46"/>
      <c r="G27" s="46"/>
      <c r="H27" s="47" t="n">
        <f aca="false">SUM(H19:H26)</f>
        <v>54</v>
      </c>
      <c r="I27" s="47" t="n">
        <f aca="false">SUM(I19:I26)</f>
        <v>71.3333333333333</v>
      </c>
    </row>
    <row r="29" customFormat="false" ht="15" hidden="false" customHeight="true" outlineLevel="0" collapsed="false">
      <c r="B29" s="36" t="s">
        <v>111</v>
      </c>
      <c r="C29" s="36"/>
      <c r="D29" s="36"/>
      <c r="E29" s="36"/>
      <c r="F29" s="36"/>
      <c r="G29" s="36"/>
      <c r="H29" s="36"/>
      <c r="I29" s="36"/>
    </row>
    <row r="30" customFormat="false" ht="19.7" hidden="false" customHeight="false" outlineLevel="0" collapsed="false">
      <c r="B30" s="48" t="s">
        <v>112</v>
      </c>
      <c r="C30" s="48"/>
      <c r="D30" s="48"/>
      <c r="E30" s="49" t="n">
        <f aca="false">('5. Weighting'!E30/100)*H15 + ('5. Weighting'!E31/100)*(100-H27)</f>
        <v>47.2708333333333</v>
      </c>
      <c r="F30" s="49"/>
      <c r="G30" s="50" t="str">
        <f aca="false">"Benefits: " &amp; TEXT(H15,"0.0") &amp; " × " &amp; TEXT('5. Weighting'!E30,"0") &amp; "% + Risk Avoidance: " &amp; TEXT(100-H27,"0.0") &amp; " × " &amp; TEXT('5. Weighting'!E31,"0") &amp; "%"</f>
        <v>Benefits: 48.5 × 50% + Risk Avoidance: 46.0 × 50%</v>
      </c>
      <c r="H30" s="50"/>
      <c r="I30" s="50"/>
    </row>
    <row r="31" customFormat="false" ht="19.7" hidden="false" customHeight="false" outlineLevel="0" collapsed="false">
      <c r="B31" s="48" t="s">
        <v>113</v>
      </c>
      <c r="C31" s="48"/>
      <c r="D31" s="48"/>
      <c r="E31" s="49" t="n">
        <f aca="false">('5. Weighting'!E30/100)*I15 + ('5. Weighting'!E31/100)*(100-I27)</f>
        <v>30.375</v>
      </c>
      <c r="F31" s="49"/>
      <c r="G31" s="50" t="str">
        <f aca="false">"Benefits: " &amp; TEXT(I15,"0.0") &amp; " × " &amp; TEXT('5. Weighting'!E30,"0") &amp; "% + Risk Avoidance: " &amp; TEXT(100-I27,"0.0") &amp; " × " &amp; TEXT('5. Weighting'!E31,"0") &amp; "%"</f>
        <v>Benefits: 32.1 × 50% + Risk Avoidance: 28.7 × 50%</v>
      </c>
      <c r="H31" s="50"/>
      <c r="I31" s="50"/>
    </row>
    <row r="32" customFormat="false" ht="26.85" hidden="false" customHeight="false" outlineLevel="0" collapsed="false">
      <c r="B32" s="51" t="s">
        <v>114</v>
      </c>
      <c r="C32" s="51"/>
      <c r="D32" s="51"/>
      <c r="E32" s="52" t="n">
        <f aca="false">E30-E31</f>
        <v>16.8958333333333</v>
      </c>
      <c r="F32" s="52"/>
      <c r="G32" s="53" t="str">
        <f aca="false">IF(E32&gt;0,"→ PRODUCT has more favorable B-R balance",IF(E32&lt;0,"→ COMPARATOR has more favorable B-R balance","→ B-R balance is equivalent"))</f>
        <v>→ PRODUCT has more favorable B-R balance</v>
      </c>
      <c r="H32" s="53"/>
      <c r="I32" s="53"/>
    </row>
  </sheetData>
  <mergeCells count="14">
    <mergeCell ref="B2:I2"/>
    <mergeCell ref="B3:I3"/>
    <mergeCell ref="B5:I5"/>
    <mergeCell ref="B17:I17"/>
    <mergeCell ref="B29:I29"/>
    <mergeCell ref="B30:D30"/>
    <mergeCell ref="E30:F30"/>
    <mergeCell ref="G30:I30"/>
    <mergeCell ref="B31:D31"/>
    <mergeCell ref="E31:F31"/>
    <mergeCell ref="G31:I31"/>
    <mergeCell ref="B32:D32"/>
    <mergeCell ref="E32:F32"/>
    <mergeCell ref="G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11" min="3" style="0" width="12"/>
    <col collapsed="false" customWidth="true" hidden="false" outlineLevel="0" max="12" min="12" style="0" width="3"/>
  </cols>
  <sheetData>
    <row r="2" customFormat="false" ht="17.35" hidden="false" customHeight="true" outlineLevel="0" collapsed="false">
      <c r="B2" s="8" t="s">
        <v>115</v>
      </c>
      <c r="C2" s="8"/>
      <c r="D2" s="8"/>
      <c r="E2" s="8"/>
      <c r="F2" s="8"/>
      <c r="G2" s="8"/>
      <c r="H2" s="8"/>
      <c r="I2" s="8"/>
      <c r="J2" s="8"/>
      <c r="K2" s="8"/>
    </row>
    <row r="3" customFormat="false" ht="15" hidden="false" customHeight="true" outlineLevel="0" collapsed="false">
      <c r="B3" s="15" t="s">
        <v>116</v>
      </c>
      <c r="C3" s="15"/>
      <c r="D3" s="15"/>
      <c r="E3" s="15"/>
      <c r="F3" s="15"/>
      <c r="G3" s="15"/>
      <c r="H3" s="15"/>
      <c r="I3" s="15"/>
      <c r="J3" s="15"/>
      <c r="K3" s="15"/>
    </row>
    <row r="5" customFormat="false" ht="15" hidden="false" customHeight="true" outlineLevel="0" collapsed="false">
      <c r="B5" s="36" t="s">
        <v>117</v>
      </c>
      <c r="C5" s="36"/>
      <c r="D5" s="36"/>
      <c r="E5" s="36"/>
      <c r="F5" s="36"/>
      <c r="G5" s="36"/>
      <c r="H5" s="36"/>
      <c r="I5" s="36"/>
      <c r="J5" s="36"/>
      <c r="K5" s="36"/>
    </row>
    <row r="6" customFormat="false" ht="15" hidden="false" customHeight="false" outlineLevel="0" collapsed="false">
      <c r="B6" s="10" t="s">
        <v>118</v>
      </c>
      <c r="C6" s="54" t="s">
        <v>119</v>
      </c>
      <c r="D6" s="54" t="s">
        <v>120</v>
      </c>
      <c r="E6" s="54" t="s">
        <v>121</v>
      </c>
      <c r="F6" s="54" t="s">
        <v>122</v>
      </c>
      <c r="G6" s="54" t="s">
        <v>123</v>
      </c>
      <c r="H6" s="54" t="s">
        <v>124</v>
      </c>
      <c r="I6" s="54" t="s">
        <v>125</v>
      </c>
      <c r="J6" s="54" t="s">
        <v>126</v>
      </c>
      <c r="K6" s="54" t="s">
        <v>127</v>
      </c>
    </row>
    <row r="7" customFormat="false" ht="15" hidden="false" customHeight="false" outlineLevel="0" collapsed="false">
      <c r="B7" s="55" t="s">
        <v>128</v>
      </c>
      <c r="C7" s="56" t="n">
        <f aca="false">(10/100)*'6. Analysis'!H15 + (90/100)*(100-'6. Analysis'!H27)</f>
        <v>46.2541666666667</v>
      </c>
      <c r="D7" s="56" t="n">
        <f aca="false">(20/100)*'6. Analysis'!H15 + (80/100)*(100-'6. Analysis'!H27)</f>
        <v>46.5083333333333</v>
      </c>
      <c r="E7" s="56" t="n">
        <f aca="false">(30/100)*'6. Analysis'!H15 + (70/100)*(100-'6. Analysis'!H27)</f>
        <v>46.7625</v>
      </c>
      <c r="F7" s="56" t="n">
        <f aca="false">(40/100)*'6. Analysis'!H15 + (60/100)*(100-'6. Analysis'!H27)</f>
        <v>47.0166666666667</v>
      </c>
      <c r="G7" s="56" t="n">
        <f aca="false">(50/100)*'6. Analysis'!H15 + (50/100)*(100-'6. Analysis'!H27)</f>
        <v>47.2708333333333</v>
      </c>
      <c r="H7" s="56" t="n">
        <f aca="false">(60/100)*'6. Analysis'!H15 + (40/100)*(100-'6. Analysis'!H27)</f>
        <v>47.525</v>
      </c>
      <c r="I7" s="56" t="n">
        <f aca="false">(70/100)*'6. Analysis'!H15 + (30/100)*(100-'6. Analysis'!H27)</f>
        <v>47.7791666666667</v>
      </c>
      <c r="J7" s="56" t="n">
        <f aca="false">(80/100)*'6. Analysis'!H15 + (20/100)*(100-'6. Analysis'!H27)</f>
        <v>48.0333333333333</v>
      </c>
      <c r="K7" s="56" t="n">
        <f aca="false">(90/100)*'6. Analysis'!H15 + (10/100)*(100-'6. Analysis'!H27)</f>
        <v>48.2875</v>
      </c>
    </row>
    <row r="8" customFormat="false" ht="15" hidden="false" customHeight="false" outlineLevel="0" collapsed="false">
      <c r="B8" s="57" t="s">
        <v>129</v>
      </c>
      <c r="C8" s="58" t="n">
        <f aca="false">(10/100)*'6. Analysis'!I15 + (90/100)*(100-'6. Analysis'!I27)</f>
        <v>29.0083333333333</v>
      </c>
      <c r="D8" s="58" t="n">
        <f aca="false">(20/100)*'6. Analysis'!I15 + (80/100)*(100-'6. Analysis'!I27)</f>
        <v>29.35</v>
      </c>
      <c r="E8" s="58" t="n">
        <f aca="false">(30/100)*'6. Analysis'!I15 + (70/100)*(100-'6. Analysis'!I27)</f>
        <v>29.6916666666667</v>
      </c>
      <c r="F8" s="58" t="n">
        <f aca="false">(40/100)*'6. Analysis'!I15 + (60/100)*(100-'6. Analysis'!I27)</f>
        <v>30.0333333333333</v>
      </c>
      <c r="G8" s="58" t="n">
        <f aca="false">(50/100)*'6. Analysis'!I15 + (50/100)*(100-'6. Analysis'!I27)</f>
        <v>30.375</v>
      </c>
      <c r="H8" s="58" t="n">
        <f aca="false">(60/100)*'6. Analysis'!I15 + (40/100)*(100-'6. Analysis'!I27)</f>
        <v>30.7166666666667</v>
      </c>
      <c r="I8" s="58" t="n">
        <f aca="false">(70/100)*'6. Analysis'!I15 + (30/100)*(100-'6. Analysis'!I27)</f>
        <v>31.0583333333333</v>
      </c>
      <c r="J8" s="58" t="n">
        <f aca="false">(80/100)*'6. Analysis'!I15 + (20/100)*(100-'6. Analysis'!I27)</f>
        <v>31.4</v>
      </c>
      <c r="K8" s="58" t="n">
        <f aca="false">(90/100)*'6. Analysis'!I15 + (10/100)*(100-'6. Analysis'!I27)</f>
        <v>31.7416666666667</v>
      </c>
    </row>
    <row r="9" customFormat="false" ht="15" hidden="false" customHeight="false" outlineLevel="0" collapsed="false">
      <c r="B9" s="37" t="s">
        <v>130</v>
      </c>
      <c r="C9" s="59" t="n">
        <f aca="false">C7-C8</f>
        <v>17.2458333333333</v>
      </c>
      <c r="D9" s="59" t="n">
        <f aca="false">D7-D8</f>
        <v>17.1583333333333</v>
      </c>
      <c r="E9" s="59" t="n">
        <f aca="false">E7-E8</f>
        <v>17.0708333333333</v>
      </c>
      <c r="F9" s="59" t="n">
        <f aca="false">F7-F8</f>
        <v>16.9833333333333</v>
      </c>
      <c r="G9" s="59" t="n">
        <f aca="false">G7-G8</f>
        <v>16.8958333333333</v>
      </c>
      <c r="H9" s="59" t="n">
        <f aca="false">H7-H8</f>
        <v>16.8083333333333</v>
      </c>
      <c r="I9" s="59" t="n">
        <f aca="false">I7-I8</f>
        <v>16.7208333333333</v>
      </c>
      <c r="J9" s="59" t="n">
        <f aca="false">J7-J8</f>
        <v>16.6333333333333</v>
      </c>
      <c r="K9" s="59" t="n">
        <f aca="false">K7-K8</f>
        <v>16.5458333333333</v>
      </c>
    </row>
    <row r="10" customFormat="false" ht="15" hidden="false" customHeight="false" outlineLevel="0" collapsed="false">
      <c r="B10" s="60" t="s">
        <v>131</v>
      </c>
      <c r="C10" s="61" t="str">
        <f aca="false">IF(C9&gt;0,"Product",IF(C9&lt;0,"Comparator","Tie"))</f>
        <v>Product</v>
      </c>
      <c r="D10" s="61" t="str">
        <f aca="false">IF(D9&gt;0,"Product",IF(D9&lt;0,"Comparator","Tie"))</f>
        <v>Product</v>
      </c>
      <c r="E10" s="61" t="str">
        <f aca="false">IF(E9&gt;0,"Product",IF(E9&lt;0,"Comparator","Tie"))</f>
        <v>Product</v>
      </c>
      <c r="F10" s="61" t="str">
        <f aca="false">IF(F9&gt;0,"Product",IF(F9&lt;0,"Comparator","Tie"))</f>
        <v>Product</v>
      </c>
      <c r="G10" s="61" t="str">
        <f aca="false">IF(G9&gt;0,"Product",IF(G9&lt;0,"Comparator","Tie"))</f>
        <v>Product</v>
      </c>
      <c r="H10" s="61" t="str">
        <f aca="false">IF(H9&gt;0,"Product",IF(H9&lt;0,"Comparator","Tie"))</f>
        <v>Product</v>
      </c>
      <c r="I10" s="61" t="str">
        <f aca="false">IF(I9&gt;0,"Product",IF(I9&lt;0,"Comparator","Tie"))</f>
        <v>Product</v>
      </c>
      <c r="J10" s="61" t="str">
        <f aca="false">IF(J9&gt;0,"Product",IF(J9&lt;0,"Comparator","Tie"))</f>
        <v>Product</v>
      </c>
      <c r="K10" s="61" t="str">
        <f aca="false">IF(K9&gt;0,"Product",IF(K9&lt;0,"Comparator","Tie"))</f>
        <v>Product</v>
      </c>
    </row>
    <row r="12" customFormat="false" ht="15" hidden="false" customHeight="true" outlineLevel="0" collapsed="false">
      <c r="B12" s="36" t="s">
        <v>132</v>
      </c>
      <c r="C12" s="36"/>
      <c r="D12" s="36"/>
      <c r="E12" s="36"/>
      <c r="F12" s="36"/>
      <c r="G12" s="36"/>
      <c r="H12" s="36"/>
      <c r="I12" s="36"/>
      <c r="J12" s="36"/>
      <c r="K12" s="36"/>
    </row>
    <row r="13" customFormat="false" ht="15" hidden="false" customHeight="false" outlineLevel="0" collapsed="false">
      <c r="B13" s="62" t="s">
        <v>133</v>
      </c>
      <c r="C13" s="62"/>
      <c r="D13" s="63" t="str">
        <f aca="false">'5. Weighting'!E30 &amp; "%"</f>
        <v>50%</v>
      </c>
      <c r="E13" s="63"/>
    </row>
    <row r="14" customFormat="false" ht="15" hidden="false" customHeight="false" outlineLevel="0" collapsed="false">
      <c r="B14" s="62" t="s">
        <v>134</v>
      </c>
      <c r="C14" s="62"/>
      <c r="D14" s="63" t="str">
        <f aca="false">IF('6. Analysis'!E32&gt;0,"PRODUCT Favorable",IF('6. Analysis'!E32&lt;0,"COMPARATOR Favorable","Equivalent"))</f>
        <v>PRODUCT Favorable</v>
      </c>
      <c r="E14" s="63"/>
    </row>
    <row r="16" customFormat="false" ht="22.35" hidden="false" customHeight="true" outlineLevel="0" collapsed="false">
      <c r="B16" s="64" t="s">
        <v>135</v>
      </c>
      <c r="C16" s="64"/>
      <c r="D16" s="64"/>
      <c r="E16" s="64"/>
      <c r="F16" s="64"/>
      <c r="G16" s="64"/>
      <c r="H16" s="64"/>
      <c r="I16" s="64"/>
      <c r="J16" s="64"/>
      <c r="K16" s="64"/>
    </row>
  </sheetData>
  <mergeCells count="9">
    <mergeCell ref="B2:K2"/>
    <mergeCell ref="B3:K3"/>
    <mergeCell ref="B5:K5"/>
    <mergeCell ref="B12:K12"/>
    <mergeCell ref="B13:C13"/>
    <mergeCell ref="D13:E13"/>
    <mergeCell ref="B14:C14"/>
    <mergeCell ref="D14:E14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6" min="3" style="0" width="15"/>
    <col collapsed="false" customWidth="true" hidden="false" outlineLevel="0" max="7" min="7" style="0" width="3"/>
  </cols>
  <sheetData>
    <row r="2" customFormat="false" ht="17.35" hidden="false" customHeight="true" outlineLevel="0" collapsed="false">
      <c r="B2" s="8" t="s">
        <v>136</v>
      </c>
      <c r="C2" s="8"/>
      <c r="D2" s="8"/>
      <c r="E2" s="8"/>
      <c r="F2" s="8"/>
    </row>
    <row r="3" customFormat="false" ht="22.35" hidden="false" customHeight="true" outlineLevel="0" collapsed="false">
      <c r="B3" s="15" t="s">
        <v>137</v>
      </c>
      <c r="C3" s="15"/>
      <c r="D3" s="15"/>
      <c r="E3" s="15"/>
      <c r="F3" s="15"/>
    </row>
    <row r="5" customFormat="false" ht="15" hidden="false" customHeight="true" outlineLevel="0" collapsed="false">
      <c r="B5" s="16" t="s">
        <v>138</v>
      </c>
      <c r="C5" s="16"/>
      <c r="D5" s="16"/>
      <c r="E5" s="16"/>
      <c r="F5" s="16"/>
    </row>
    <row r="6" customFormat="false" ht="15" hidden="false" customHeight="false" outlineLevel="0" collapsed="false">
      <c r="B6" s="17" t="s">
        <v>139</v>
      </c>
      <c r="C6" s="17" t="s">
        <v>140</v>
      </c>
      <c r="D6" s="17" t="s">
        <v>141</v>
      </c>
      <c r="E6" s="17" t="s">
        <v>142</v>
      </c>
      <c r="F6" s="17" t="s">
        <v>143</v>
      </c>
    </row>
    <row r="7" customFormat="false" ht="15" hidden="false" customHeight="false" outlineLevel="0" collapsed="false">
      <c r="B7" s="25" t="str">
        <f aca="false">'1. Settings'!C5</f>
        <v>Enter product INN</v>
      </c>
      <c r="C7" s="29" t="n">
        <f aca="false">'6. Analysis'!H15 * ('5. Weighting'!E30/100)</f>
        <v>24.2708333333333</v>
      </c>
      <c r="D7" s="29" t="n">
        <f aca="false">(100-'6. Analysis'!H27) * ('5. Weighting'!E31/100)</f>
        <v>23</v>
      </c>
      <c r="E7" s="65" t="n">
        <f aca="false">'6. Analysis'!E30</f>
        <v>47.2708333333333</v>
      </c>
      <c r="F7" s="19" t="n">
        <v>100</v>
      </c>
    </row>
    <row r="8" customFormat="false" ht="15" hidden="false" customHeight="false" outlineLevel="0" collapsed="false">
      <c r="B8" s="25" t="str">
        <f aca="false">'1. Settings'!C6</f>
        <v>Enter comparator (e.g., Placebo, Active Control)</v>
      </c>
      <c r="C8" s="29" t="n">
        <f aca="false">'6. Analysis'!I15 * ('5. Weighting'!E30/100)</f>
        <v>16.0416666666667</v>
      </c>
      <c r="D8" s="29" t="n">
        <f aca="false">(100-'6. Analysis'!I27) * ('5. Weighting'!E31/100)</f>
        <v>14.3333333333333</v>
      </c>
      <c r="E8" s="65" t="n">
        <f aca="false">'6. Analysis'!E31</f>
        <v>30.375</v>
      </c>
      <c r="F8" s="19" t="n">
        <v>100</v>
      </c>
    </row>
    <row r="10" customFormat="false" ht="15" hidden="false" customHeight="true" outlineLevel="0" collapsed="false">
      <c r="B10" s="21" t="s">
        <v>144</v>
      </c>
      <c r="C10" s="21"/>
      <c r="D10" s="21"/>
      <c r="E10" s="21"/>
      <c r="F10" s="21"/>
    </row>
    <row r="11" customFormat="false" ht="15" hidden="false" customHeight="false" outlineLevel="0" collapsed="false">
      <c r="B11" s="22" t="s">
        <v>73</v>
      </c>
      <c r="C11" s="22" t="s">
        <v>145</v>
      </c>
      <c r="D11" s="22" t="s">
        <v>104</v>
      </c>
      <c r="E11" s="22" t="s">
        <v>146</v>
      </c>
      <c r="F11" s="22" t="s">
        <v>147</v>
      </c>
    </row>
    <row r="12" customFormat="false" ht="15" hidden="false" customHeight="false" outlineLevel="0" collapsed="false">
      <c r="B12" s="25" t="str">
        <f aca="false">'2. Criteria'!D7</f>
        <v>Overall Response Rate</v>
      </c>
      <c r="C12" s="18" t="s">
        <v>148</v>
      </c>
      <c r="D12" s="38" t="n">
        <f aca="false">'6. Analysis'!E7</f>
        <v>0.5</v>
      </c>
      <c r="E12" s="30" t="n">
        <f aca="false">'4. Scoring'!G7</f>
        <v>15</v>
      </c>
      <c r="F12" s="66" t="n">
        <f aca="false">IF(D12="","",D12*E12*('5. Weighting'!E30/100))</f>
        <v>3.75</v>
      </c>
    </row>
    <row r="13" customFormat="false" ht="15" hidden="false" customHeight="false" outlineLevel="0" collapsed="false">
      <c r="B13" s="25" t="str">
        <f aca="false">'2. Criteria'!D8</f>
        <v>Progression-Free Survival</v>
      </c>
      <c r="C13" s="18" t="s">
        <v>148</v>
      </c>
      <c r="D13" s="38" t="n">
        <f aca="false">'6. Analysis'!E8</f>
        <v>0.5</v>
      </c>
      <c r="E13" s="30" t="n">
        <f aca="false">'4. Scoring'!G8</f>
        <v>17.9166666666667</v>
      </c>
      <c r="F13" s="66" t="n">
        <f aca="false">IF(D13="","",D13*E13*('5. Weighting'!E30/100))</f>
        <v>4.47916666666667</v>
      </c>
    </row>
    <row r="14" customFormat="false" ht="15" hidden="false" customHeight="false" outlineLevel="0" collapsed="false">
      <c r="B14" s="25" t="n">
        <f aca="false">'2. Criteria'!D9</f>
        <v>0</v>
      </c>
      <c r="C14" s="18" t="s">
        <v>148</v>
      </c>
      <c r="D14" s="38" t="str">
        <f aca="false">'6. Analysis'!E9</f>
        <v/>
      </c>
      <c r="E14" s="30" t="str">
        <f aca="false">'4. Scoring'!G9</f>
        <v/>
      </c>
      <c r="F14" s="66" t="str">
        <f aca="false">IF(D14="","",D14*E14*('5. Weighting'!E30/100))</f>
        <v/>
      </c>
    </row>
    <row r="15" customFormat="false" ht="15" hidden="false" customHeight="false" outlineLevel="0" collapsed="false">
      <c r="B15" s="25" t="n">
        <f aca="false">'2. Criteria'!D10</f>
        <v>0</v>
      </c>
      <c r="C15" s="18" t="s">
        <v>148</v>
      </c>
      <c r="D15" s="38" t="str">
        <f aca="false">'6. Analysis'!E10</f>
        <v/>
      </c>
      <c r="E15" s="30" t="str">
        <f aca="false">'4. Scoring'!G10</f>
        <v/>
      </c>
      <c r="F15" s="66" t="str">
        <f aca="false">IF(D15="","",D15*E15*('5. Weighting'!E30/100))</f>
        <v/>
      </c>
    </row>
    <row r="16" customFormat="false" ht="15" hidden="false" customHeight="false" outlineLevel="0" collapsed="false">
      <c r="B16" s="25" t="str">
        <f aca="false">'2. Criteria'!D18</f>
        <v>Grade 3+ Neutropenia</v>
      </c>
      <c r="C16" s="23" t="s">
        <v>149</v>
      </c>
      <c r="D16" s="38" t="n">
        <f aca="false">'6. Analysis'!E19</f>
        <v>0.6</v>
      </c>
      <c r="E16" s="30" t="n">
        <f aca="false">'4. Scoring'!G18</f>
        <v>-20</v>
      </c>
      <c r="F16" s="66" t="n">
        <f aca="false">IF(D16="","",D16*E16*('5. Weighting'!E31/100))</f>
        <v>-6</v>
      </c>
    </row>
    <row r="17" customFormat="false" ht="15" hidden="false" customHeight="false" outlineLevel="0" collapsed="false">
      <c r="B17" s="25" t="str">
        <f aca="false">'2. Criteria'!D19</f>
        <v>Treatment Discontinuation</v>
      </c>
      <c r="C17" s="23" t="s">
        <v>149</v>
      </c>
      <c r="D17" s="38" t="n">
        <f aca="false">'6. Analysis'!E20</f>
        <v>0.4</v>
      </c>
      <c r="E17" s="30" t="n">
        <f aca="false">'4. Scoring'!G19</f>
        <v>-13.3333333333333</v>
      </c>
      <c r="F17" s="66" t="n">
        <f aca="false">IF(D17="","",D17*E17*('5. Weighting'!E31/100))</f>
        <v>-2.66666666666667</v>
      </c>
    </row>
    <row r="18" customFormat="false" ht="15" hidden="false" customHeight="false" outlineLevel="0" collapsed="false">
      <c r="B18" s="25" t="n">
        <f aca="false">'2. Criteria'!D20</f>
        <v>0</v>
      </c>
      <c r="C18" s="23" t="s">
        <v>149</v>
      </c>
      <c r="D18" s="38" t="str">
        <f aca="false">'6. Analysis'!E21</f>
        <v/>
      </c>
      <c r="E18" s="30" t="str">
        <f aca="false">'4. Scoring'!G20</f>
        <v/>
      </c>
      <c r="F18" s="66" t="str">
        <f aca="false">IF(D18="","",D18*E18*('5. Weighting'!E31/100))</f>
        <v/>
      </c>
    </row>
    <row r="19" customFormat="false" ht="15" hidden="false" customHeight="false" outlineLevel="0" collapsed="false">
      <c r="B19" s="25" t="n">
        <f aca="false">'2. Criteria'!D21</f>
        <v>0</v>
      </c>
      <c r="C19" s="23" t="s">
        <v>149</v>
      </c>
      <c r="D19" s="38" t="str">
        <f aca="false">'6. Analysis'!E22</f>
        <v/>
      </c>
      <c r="E19" s="30" t="str">
        <f aca="false">'4. Scoring'!G21</f>
        <v/>
      </c>
      <c r="F19" s="66" t="str">
        <f aca="false">IF(D19="","",D19*E19*('5. Weighting'!E31/100))</f>
        <v/>
      </c>
    </row>
    <row r="21" customFormat="false" ht="22.35" hidden="false" customHeight="true" outlineLevel="0" collapsed="false">
      <c r="B21" s="14" t="s">
        <v>150</v>
      </c>
      <c r="C21" s="14"/>
      <c r="D21" s="14"/>
      <c r="E21" s="14"/>
      <c r="F21" s="14"/>
    </row>
    <row r="22" customFormat="false" ht="22.35" hidden="false" customHeight="true" outlineLevel="0" collapsed="false">
      <c r="B22" s="67" t="s">
        <v>151</v>
      </c>
      <c r="C22" s="67"/>
      <c r="D22" s="67"/>
      <c r="E22" s="67"/>
      <c r="F22" s="67"/>
    </row>
  </sheetData>
  <mergeCells count="6">
    <mergeCell ref="B2:F2"/>
    <mergeCell ref="B3:F3"/>
    <mergeCell ref="B5:F5"/>
    <mergeCell ref="B10:F1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70"/>
    <col collapsed="false" customWidth="true" hidden="false" outlineLevel="0" max="4" min="4" style="0" width="3"/>
  </cols>
  <sheetData>
    <row r="2" customFormat="false" ht="17.35" hidden="false" customHeight="true" outlineLevel="0" collapsed="false">
      <c r="B2" s="8" t="s">
        <v>152</v>
      </c>
      <c r="C2" s="8"/>
    </row>
    <row r="4" customFormat="false" ht="15" hidden="false" customHeight="false" outlineLevel="0" collapsed="false">
      <c r="B4" s="3" t="s">
        <v>153</v>
      </c>
    </row>
    <row r="5" customFormat="false" ht="23.85" hidden="false" customHeight="false" outlineLevel="0" collapsed="false">
      <c r="B5" s="68" t="s">
        <v>154</v>
      </c>
      <c r="C5" s="69" t="s">
        <v>155</v>
      </c>
    </row>
    <row r="6" customFormat="false" ht="23.85" hidden="false" customHeight="false" outlineLevel="0" collapsed="false">
      <c r="B6" s="68" t="s">
        <v>156</v>
      </c>
      <c r="C6" s="69" t="s">
        <v>157</v>
      </c>
    </row>
    <row r="7" customFormat="false" ht="23.85" hidden="false" customHeight="false" outlineLevel="0" collapsed="false">
      <c r="B7" s="68" t="s">
        <v>158</v>
      </c>
      <c r="C7" s="69" t="s">
        <v>159</v>
      </c>
    </row>
    <row r="8" customFormat="false" ht="23.85" hidden="false" customHeight="false" outlineLevel="0" collapsed="false">
      <c r="B8" s="68" t="s">
        <v>160</v>
      </c>
      <c r="C8" s="69" t="s">
        <v>161</v>
      </c>
    </row>
    <row r="9" customFormat="false" ht="23.85" hidden="false" customHeight="false" outlineLevel="0" collapsed="false">
      <c r="B9" s="68" t="s">
        <v>162</v>
      </c>
      <c r="C9" s="69" t="s">
        <v>163</v>
      </c>
    </row>
    <row r="10" customFormat="false" ht="15" hidden="false" customHeight="false" outlineLevel="0" collapsed="false">
      <c r="B10" s="68" t="s">
        <v>164</v>
      </c>
      <c r="C10" s="69" t="s">
        <v>165</v>
      </c>
    </row>
    <row r="12" customFormat="false" ht="15" hidden="false" customHeight="false" outlineLevel="0" collapsed="false">
      <c r="B12" s="6" t="s">
        <v>166</v>
      </c>
    </row>
    <row r="13" customFormat="false" ht="23.85" hidden="false" customHeight="false" outlineLevel="0" collapsed="false">
      <c r="B13" s="68" t="s">
        <v>167</v>
      </c>
      <c r="C13" s="69" t="s">
        <v>168</v>
      </c>
    </row>
    <row r="14" customFormat="false" ht="23.85" hidden="false" customHeight="false" outlineLevel="0" collapsed="false">
      <c r="B14" s="68" t="s">
        <v>169</v>
      </c>
      <c r="C14" s="69" t="s">
        <v>170</v>
      </c>
    </row>
    <row r="15" customFormat="false" ht="23.85" hidden="false" customHeight="false" outlineLevel="0" collapsed="false">
      <c r="B15" s="68" t="s">
        <v>171</v>
      </c>
      <c r="C15" s="69" t="s">
        <v>172</v>
      </c>
    </row>
    <row r="16" customFormat="false" ht="15" hidden="false" customHeight="false" outlineLevel="0" collapsed="false">
      <c r="B16" s="68" t="s">
        <v>173</v>
      </c>
      <c r="C16" s="69" t="s">
        <v>174</v>
      </c>
    </row>
    <row r="18" customFormat="false" ht="15" hidden="false" customHeight="false" outlineLevel="0" collapsed="false">
      <c r="B18" s="5" t="s">
        <v>175</v>
      </c>
    </row>
    <row r="19" customFormat="false" ht="15" hidden="false" customHeight="false" outlineLevel="0" collapsed="false">
      <c r="B19" s="70" t="s">
        <v>176</v>
      </c>
      <c r="C19" s="70"/>
    </row>
    <row r="20" customFormat="false" ht="15" hidden="false" customHeight="false" outlineLevel="0" collapsed="false">
      <c r="B20" s="70" t="s">
        <v>177</v>
      </c>
      <c r="C20" s="70"/>
    </row>
    <row r="21" customFormat="false" ht="15" hidden="false" customHeight="false" outlineLevel="0" collapsed="false">
      <c r="B21" s="70" t="s">
        <v>178</v>
      </c>
      <c r="C21" s="70"/>
    </row>
    <row r="22" customFormat="false" ht="15" hidden="false" customHeight="false" outlineLevel="0" collapsed="false">
      <c r="B22" s="70" t="s">
        <v>179</v>
      </c>
      <c r="C22" s="70"/>
    </row>
    <row r="24" customFormat="false" ht="15" hidden="false" customHeight="true" outlineLevel="0" collapsed="false">
      <c r="B24" s="71" t="s">
        <v>8</v>
      </c>
      <c r="C24" s="71"/>
    </row>
  </sheetData>
  <mergeCells count="6">
    <mergeCell ref="B2:C2"/>
    <mergeCell ref="B19:C19"/>
    <mergeCell ref="B20:C20"/>
    <mergeCell ref="B21:C21"/>
    <mergeCell ref="B22:C22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2025-12-18T03:02:36Z</dcterms:created>
  <dc:creator>openpyxl</dc:creator>
  <dc:description/>
  <dc:language>en-US</dc:language>
  <cp:lastModifiedBy/>
  <dcterms:modified xsi:type="dcterms:W3CDTF">2025-12-18T03:02:36Z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