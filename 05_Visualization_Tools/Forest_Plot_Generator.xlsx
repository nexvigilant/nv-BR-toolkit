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a Input" sheetId="1" state="visible" r:id="rId3"/>
    <sheet name="2. Chart Data" sheetId="2" state="visible" r:id="rId4"/>
    <sheet name="3. Apps Script" sheetId="3" state="visible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<sst xmlns="http://schemas.openxmlformats.org/spreadsheetml/2006/main" count="247" uniqueCount="170">
  <si>
    <t xml:space="preserve">FOREST PLOT GENERATOR</t>
  </si>
  <si>
    <t xml:space="preserve">Enter effect sizes and confidence intervals below. Chart data auto-generates on Sheet 2.</t>
  </si>
  <si>
    <t xml:space="preserve">PLOT SETTINGS</t>
  </si>
  <si>
    <t xml:space="preserve">Product:</t>
  </si>
  <si>
    <t xml:space="preserve">Product X</t>
  </si>
  <si>
    <t xml:space="preserve">Comparator:</t>
  </si>
  <si>
    <t xml:space="preserve">Placebo</t>
  </si>
  <si>
    <t xml:space="preserve">Effect Measure:</t>
  </si>
  <si>
    <t xml:space="preserve">Risk Ratio</t>
  </si>
  <si>
    <t xml:space="preserve">Null Value:</t>
  </si>
  <si>
    <t xml:space="preserve">BENEFIT OUTCOMES</t>
  </si>
  <si>
    <t xml:space="preserve">#</t>
  </si>
  <si>
    <t xml:space="preserve">Type</t>
  </si>
  <si>
    <t xml:space="preserve">Outcome</t>
  </si>
  <si>
    <t xml:space="preserve">Product
Events/N</t>
  </si>
  <si>
    <t xml:space="preserve">Comparator
Events/N</t>
  </si>
  <si>
    <t xml:space="preserve">Effect
Size</t>
  </si>
  <si>
    <t xml:space="preserve">CI
Lower</t>
  </si>
  <si>
    <t xml:space="preserve">CI
Upper</t>
  </si>
  <si>
    <t xml:space="preserve">P-value</t>
  </si>
  <si>
    <t xml:space="preserve">Weight</t>
  </si>
  <si>
    <t xml:space="preserve">BEN</t>
  </si>
  <si>
    <t xml:space="preserve">Overall Response</t>
  </si>
  <si>
    <t xml:space="preserve">125/250</t>
  </si>
  <si>
    <t xml:space="preserve">80/250</t>
  </si>
  <si>
    <t xml:space="preserve">Complete Response</t>
  </si>
  <si>
    <t xml:space="preserve">45/250</t>
  </si>
  <si>
    <t xml:space="preserve">20/250</t>
  </si>
  <si>
    <t xml:space="preserve">Disease Control</t>
  </si>
  <si>
    <t xml:space="preserve">180/250</t>
  </si>
  <si>
    <t xml:space="preserve">140/250</t>
  </si>
  <si>
    <t xml:space="preserve">Quality of Life Improvement</t>
  </si>
  <si>
    <t xml:space="preserve">150/250</t>
  </si>
  <si>
    <t xml:space="preserve">100/250</t>
  </si>
  <si>
    <t xml:space="preserve">RISK OUTCOMES</t>
  </si>
  <si>
    <t xml:space="preserve">RSK</t>
  </si>
  <si>
    <t xml:space="preserve">Grade 3+ Neutropenia</t>
  </si>
  <si>
    <t xml:space="preserve">62/250</t>
  </si>
  <si>
    <t xml:space="preserve">25/250</t>
  </si>
  <si>
    <t xml:space="preserve">&lt;0.001</t>
  </si>
  <si>
    <t xml:space="preserve">Treatment Discontinuation</t>
  </si>
  <si>
    <t xml:space="preserve">30/250</t>
  </si>
  <si>
    <t xml:space="preserve">12/250</t>
  </si>
  <si>
    <t xml:space="preserve">Serious Infections</t>
  </si>
  <si>
    <t xml:space="preserve">18/250</t>
  </si>
  <si>
    <t xml:space="preserve">8/250</t>
  </si>
  <si>
    <t xml:space="preserve">Any Grade 3+ AE</t>
  </si>
  <si>
    <t xml:space="preserve">95/250</t>
  </si>
  <si>
    <t xml:space="preserve">55/250</t>
  </si>
  <si>
    <t xml:space="preserve">FOREST PLOT CHART DATA</t>
  </si>
  <si>
    <t xml:space="preserve">Auto-calculated from Sheet 1. Use columns E (Effect), H-I (Error bars), J (Y-position) for scatter chart.</t>
  </si>
  <si>
    <t xml:space="preserve">Reference</t>
  </si>
  <si>
    <t xml:space="preserve">Null Reference Line</t>
  </si>
  <si>
    <t xml:space="preserve">Effect</t>
  </si>
  <si>
    <t xml:space="preserve">CI Low</t>
  </si>
  <si>
    <t xml:space="preserve">CI High</t>
  </si>
  <si>
    <t xml:space="preserve">Error-</t>
  </si>
  <si>
    <t xml:space="preserve">Error+</t>
  </si>
  <si>
    <t xml:space="preserve">Y-Pos</t>
  </si>
  <si>
    <t xml:space="preserve">Label: Effect (95% CI)</t>
  </si>
  <si>
    <t xml:space="preserve">BENEFITS</t>
  </si>
  <si>
    <t xml:space="preserve">RISKS</t>
  </si>
  <si>
    <t xml:space="preserve">◎ TO CREATE FOREST PLOT IN EXCEL/SHEETS:</t>
  </si>
  <si>
    <t xml:space="preserve">1. Select columns E (Effect) and J (Y-Pos) for data rows with values</t>
  </si>
  <si>
    <t xml:space="preserve">2. Insert → Chart → Scatter (Markers Only)</t>
  </si>
  <si>
    <t xml:space="preserve">3. Add Error Bars: Use column H for Negative, column I for Positive</t>
  </si>
  <si>
    <t xml:space="preserve">4. Add vertical reference line at null value (from E5)</t>
  </si>
  <si>
    <t xml:space="preserve">5. Add data labels from column K for effect size annotations</t>
  </si>
  <si>
    <t xml:space="preserve">6. Format: Benefits markers in teal (#0D9488), Risks in gold (#D97706)</t>
  </si>
  <si>
    <t xml:space="preserve">GOOGLE APPS SCRIPT FOR AUTOMATED FOREST PLOT</t>
  </si>
  <si>
    <t xml:space="preserve">Copy this code to Extensions → Apps Script in Google Sheets. Run generateForestPlot() to create the chart.</t>
  </si>
  <si>
    <t xml:space="preserve">// NexVigilant Forest Plot Generator - Google Apps Script</t>
  </si>
  <si>
    <t xml:space="preserve">// ============================================================</t>
  </si>
  <si>
    <t xml:space="preserve">// FOREST PLOT GENERATOR - GOOGLE APPS SCRIPT</t>
  </si>
  <si>
    <t xml:space="preserve">// NexVigilant Benefit-Risk Intelligence Toolkit</t>
  </si>
  <si>
    <t xml:space="preserve">/**</t>
  </si>
  <si>
    <t xml:space="preserve"> * Main function to generate forest plot from data</t>
  </si>
  <si>
    <t xml:space="preserve"> * Run this function after entering data on Sheet 1</t>
  </si>
  <si>
    <t xml:space="preserve"> */</t>
  </si>
  <si>
    <t xml:space="preserve">function generateForestPlot() {</t>
  </si>
  <si>
    <t xml:space="preserve">  var ss = SpreadsheetApp.getActiveSpreadsheet();</t>
  </si>
  <si>
    <t xml:space="preserve">  var dataSheet = ss.getSheetByName("1. Data Input");</t>
  </si>
  <si>
    <t xml:space="preserve">  var chartSheet = ss.getSheetByName("2. Chart Data");</t>
  </si>
  <si>
    <t xml:space="preserve">  </t>
  </si>
  <si>
    <t xml:space="preserve">  // Get settings</t>
  </si>
  <si>
    <t xml:space="preserve">  var productName = dataSheet.getRange("C6").getValue();</t>
  </si>
  <si>
    <t xml:space="preserve">  var comparatorName = dataSheet.getRange("C7").getValue();</t>
  </si>
  <si>
    <t xml:space="preserve">  var effectMeasure = dataSheet.getRange("C8").getValue();</t>
  </si>
  <si>
    <t xml:space="preserve">  var nullValue = dataSheet.getRange("C9").getValue();</t>
  </si>
  <si>
    <t xml:space="preserve">  // Remove existing charts</t>
  </si>
  <si>
    <t xml:space="preserve">  var existingCharts = chartSheet.getCharts();</t>
  </si>
  <si>
    <t xml:space="preserve">  for (var i = 0; i &lt; existingCharts.length; i++) {</t>
  </si>
  <si>
    <t xml:space="preserve">    chartSheet.removeChart(existingCharts[i]);</t>
  </si>
  <si>
    <t xml:space="preserve">  }</t>
  </si>
  <si>
    <t xml:space="preserve">  // Build data arrays for chart</t>
  </si>
  <si>
    <t xml:space="preserve">  var benefitData = [];</t>
  </si>
  <si>
    <t xml:space="preserve">  var riskData = [];</t>
  </si>
  <si>
    <t xml:space="preserve">  // Collect benefit data (rows 8-15 on chart sheet)</t>
  </si>
  <si>
    <t xml:space="preserve">  for (var row = 8; row &lt;= 15; row++) {</t>
  </si>
  <si>
    <t xml:space="preserve">    var effect = chartSheet.getRange("E" + row).getValue();</t>
  </si>
  <si>
    <t xml:space="preserve">    var yPos = chartSheet.getRange("J" + row).getValue();</t>
  </si>
  <si>
    <t xml:space="preserve">    if (effect !== "" &amp;&amp; effect !== null) {</t>
  </si>
  <si>
    <t xml:space="preserve">      benefitData.push([effect, yPos]);</t>
  </si>
  <si>
    <t xml:space="preserve">    }</t>
  </si>
  <si>
    <t xml:space="preserve">  // Collect risk data (rows 17-24 on chart sheet)</t>
  </si>
  <si>
    <t xml:space="preserve">  for (var row = 17; row &lt;= 24; row++) {</t>
  </si>
  <si>
    <t xml:space="preserve">      riskData.push([effect, yPos]);</t>
  </si>
  <si>
    <t xml:space="preserve">  // Create scatter chart</t>
  </si>
  <si>
    <t xml:space="preserve">  var chartBuilder = chartSheet.newChart()</t>
  </si>
  <si>
    <t xml:space="preserve">    .setChartType(Charts.ChartType.SCATTER)</t>
  </si>
  <si>
    <t xml:space="preserve">    .setPosition(26, 2, 0, 0)</t>
  </si>
  <si>
    <t xml:space="preserve">    .setOption('title', productName + ' vs ' + comparatorName + ' - Forest Plot')</t>
  </si>
  <si>
    <t xml:space="preserve">    .setOption('titleTextStyle', {fontSize: 14, bold: true})</t>
  </si>
  <si>
    <t xml:space="preserve">    .setOption('width', 700)</t>
  </si>
  <si>
    <t xml:space="preserve">    .setOption('height', 500)</t>
  </si>
  <si>
    <t xml:space="preserve">    .setOption('legend', {position: 'bottom'})</t>
  </si>
  <si>
    <t xml:space="preserve">    .setOption('hAxis', {</t>
  </si>
  <si>
    <t xml:space="preserve">      title: effectMeasure,</t>
  </si>
  <si>
    <t xml:space="preserve">      viewWindow: {min: 0, max: 5},</t>
  </si>
  <si>
    <t xml:space="preserve">      gridlines: {count: 10}</t>
  </si>
  <si>
    <t xml:space="preserve">    })</t>
  </si>
  <si>
    <t xml:space="preserve">    .setOption('vAxis', {</t>
  </si>
  <si>
    <t xml:space="preserve">      title: '',</t>
  </si>
  <si>
    <t xml:space="preserve">      gridlines: {count: 0},</t>
  </si>
  <si>
    <t xml:space="preserve">      textPosition: 'none'</t>
  </si>
  <si>
    <t xml:space="preserve">    .setOption('pointSize', 8);</t>
  </si>
  <si>
    <t xml:space="preserve">  // Add benefit series</t>
  </si>
  <si>
    <t xml:space="preserve">  if (benefitData.length &gt; 0) {</t>
  </si>
  <si>
    <t xml:space="preserve">    var benefitRange = chartSheet.getRange("E8:E15");</t>
  </si>
  <si>
    <t xml:space="preserve">    var benefitYRange = chartSheet.getRange("J8:J15");</t>
  </si>
  <si>
    <t xml:space="preserve">    chartBuilder.addRange(benefitRange);</t>
  </si>
  <si>
    <t xml:space="preserve">  var chart = chartBuilder.build();</t>
  </si>
  <si>
    <t xml:space="preserve">  chartSheet.insertChart(chart);</t>
  </si>
  <si>
    <t xml:space="preserve">  // Show completion message</t>
  </si>
  <si>
    <t xml:space="preserve">  SpreadsheetApp.getUi().alert(</t>
  </si>
  <si>
    <t xml:space="preserve">    'Forest Plot Generated',</t>
  </si>
  <si>
    <t xml:space="preserve">    'Chart created on Sheet 2. Manually add error bars and format colors for publication quality.',</t>
  </si>
  <si>
    <t xml:space="preserve">    SpreadsheetApp.getUi().ButtonSet.OK</t>
  </si>
  <si>
    <t xml:space="preserve">  );</t>
  </si>
  <si>
    <t xml:space="preserve">}</t>
  </si>
  <si>
    <t xml:space="preserve"> * Create custom menu on spreadsheet open</t>
  </si>
  <si>
    <t xml:space="preserve">function onOpen() {</t>
  </si>
  <si>
    <t xml:space="preserve">  var ui = SpreadsheetApp.getUi();</t>
  </si>
  <si>
    <t xml:space="preserve">  ui.createMenu('NexVigilant Tools')</t>
  </si>
  <si>
    <t xml:space="preserve">    .addItem('Generate Forest Plot', 'generateForestPlot')</t>
  </si>
  <si>
    <t xml:space="preserve">    .addItem('Clear Chart', 'clearChart')</t>
  </si>
  <si>
    <t xml:space="preserve">    .addItem('Export as PNG', 'exportChart')</t>
  </si>
  <si>
    <t xml:space="preserve">    .addToUi();</t>
  </si>
  <si>
    <t xml:space="preserve"> * Clear existing charts</t>
  </si>
  <si>
    <t xml:space="preserve">function clearChart() {</t>
  </si>
  <si>
    <t xml:space="preserve">  var charts = chartSheet.getCharts();</t>
  </si>
  <si>
    <t xml:space="preserve">  for (var i = 0; i &lt; charts.length; i++) {</t>
  </si>
  <si>
    <t xml:space="preserve">    chartSheet.removeChart(charts[i]);</t>
  </si>
  <si>
    <t xml:space="preserve">  SpreadsheetApp.getUi().alert('Charts cleared.');</t>
  </si>
  <si>
    <t xml:space="preserve"> * Export chart as image (requires manual download)</t>
  </si>
  <si>
    <t xml:space="preserve">function exportChart() {</t>
  </si>
  <si>
    <t xml:space="preserve">    'Export Instructions',</t>
  </si>
  <si>
    <t xml:space="preserve">    'To export: Click chart → Three dots menu → Download → PNG image',</t>
  </si>
  <si>
    <t xml:space="preserve">FOREST PLOT REFERENCE</t>
  </si>
  <si>
    <t xml:space="preserve">INTERPRETATION GUIDE</t>
  </si>
  <si>
    <t xml:space="preserve">Point Estimate</t>
  </si>
  <si>
    <t xml:space="preserve">The central marker represents the calculated effect size (RR, OR, HR, or difference).</t>
  </si>
  <si>
    <t xml:space="preserve">Confidence Interval</t>
  </si>
  <si>
    <t xml:space="preserve">Horizontal line shows 95% CI. Narrow = precise estimate; Wide = uncertain estimate.</t>
  </si>
  <si>
    <t xml:space="preserve">Vertical line at 1.0 (ratios) or 0 (differences). CI crossing this line = not statistically significant.</t>
  </si>
  <si>
    <t xml:space="preserve">Favors Product</t>
  </si>
  <si>
    <t xml:space="preserve">For benefits: effect &gt; null. For risks: effect &lt; null (depending on direction of effect measure).</t>
  </si>
  <si>
    <t xml:space="preserve">Statistical Significance</t>
  </si>
  <si>
    <t xml:space="preserve">If 95% CI does not include null value, p &lt; 0.05 (statistically significant).</t>
  </si>
  <si>
    <t xml:space="preserve">Template © 2025 NexVigilant LLC | www.nexvigilant.com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</si>
</sst>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65D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365D"/>
      <name val="Arial"/>
      <family val="0"/>
      <charset val="1"/>
    </font>
    <font>
      <i val="true"/>
      <sz val="9"/>
      <color rgb="FF0D9488"/>
      <name val="Arial"/>
      <family val="0"/>
      <charset val="1"/>
    </font>
    <font>
      <sz val="9"/>
      <color rgb="FF000000"/>
      <name val="Consolas"/>
      <family val="0"/>
      <charset val="1"/>
    </font>
    <font>
      <sz val="8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1F5F9"/>
        <bgColor rgb="FFE0F2FE"/>
      </patternFill>
    </fill>
    <fill>
      <patternFill patternType="solid">
        <fgColor rgb="FF0D9488"/>
        <bgColor rgb="FF008080"/>
      </patternFill>
    </fill>
    <fill>
      <patternFill patternType="solid">
        <fgColor rgb="FF16A34A"/>
        <bgColor rgb="FF0D9488"/>
      </patternFill>
    </fill>
    <fill>
      <patternFill patternType="solid">
        <fgColor rgb="FFDCFCE7"/>
        <bgColor rgb="FFE0F2FE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FEF3C7"/>
        <bgColor rgb="FFFFFF99"/>
      </patternFill>
    </fill>
    <fill>
      <patternFill patternType="solid">
        <fgColor rgb="FFE0F2F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1F5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A365D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3"/>
  </cols>
  <sheetData>
    <row r="2" customFormat="false" ht="22.0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tru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</row>
    <row r="9" customFormat="false" ht="15" hidden="false" customHeight="false" outlineLevel="0" collapsed="false">
      <c r="B9" s="4" t="s">
        <v>9</v>
      </c>
      <c r="C9" s="6" t="n">
        <v>1</v>
      </c>
      <c r="D9" s="6"/>
      <c r="E9" s="6"/>
    </row>
    <row r="11" customFormat="false" ht="15" hidden="false" customHeight="true" outlineLevel="0" collapsed="false"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</row>
    <row r="12" customFormat="false" ht="30" hidden="false" customHeight="true" outlineLevel="0" collapsed="false"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8" t="s">
        <v>20</v>
      </c>
    </row>
    <row r="13" customFormat="false" ht="15" hidden="false" customHeight="false" outlineLevel="0" collapsed="false">
      <c r="B13" s="9" t="n">
        <v>1</v>
      </c>
      <c r="C13" s="9" t="s">
        <v>21</v>
      </c>
      <c r="D13" s="10" t="s">
        <v>22</v>
      </c>
      <c r="E13" s="10" t="s">
        <v>23</v>
      </c>
      <c r="F13" s="10" t="s">
        <v>24</v>
      </c>
      <c r="G13" s="11" t="n">
        <v>1.56</v>
      </c>
      <c r="H13" s="11" t="n">
        <v>1.21</v>
      </c>
      <c r="I13" s="11" t="n">
        <v>2.01</v>
      </c>
      <c r="J13" s="12" t="n">
        <v>0.001</v>
      </c>
      <c r="K13" s="13"/>
    </row>
    <row r="14" customFormat="false" ht="15" hidden="false" customHeight="false" outlineLevel="0" collapsed="false">
      <c r="B14" s="9" t="n">
        <v>2</v>
      </c>
      <c r="C14" s="9" t="s">
        <v>21</v>
      </c>
      <c r="D14" s="10" t="s">
        <v>25</v>
      </c>
      <c r="E14" s="10" t="s">
        <v>26</v>
      </c>
      <c r="F14" s="10" t="s">
        <v>27</v>
      </c>
      <c r="G14" s="11" t="n">
        <v>2.25</v>
      </c>
      <c r="H14" s="11" t="n">
        <v>1.35</v>
      </c>
      <c r="I14" s="11" t="n">
        <v>3.75</v>
      </c>
      <c r="J14" s="12" t="n">
        <v>0.002</v>
      </c>
      <c r="K14" s="13"/>
    </row>
    <row r="15" customFormat="false" ht="15" hidden="false" customHeight="false" outlineLevel="0" collapsed="false">
      <c r="B15" s="9" t="n">
        <v>3</v>
      </c>
      <c r="C15" s="9" t="s">
        <v>21</v>
      </c>
      <c r="D15" s="10" t="s">
        <v>28</v>
      </c>
      <c r="E15" s="10" t="s">
        <v>29</v>
      </c>
      <c r="F15" s="10" t="s">
        <v>30</v>
      </c>
      <c r="G15" s="11" t="n">
        <v>1.29</v>
      </c>
      <c r="H15" s="11" t="n">
        <v>1.08</v>
      </c>
      <c r="I15" s="11" t="n">
        <v>1.53</v>
      </c>
      <c r="J15" s="12" t="n">
        <v>0.004</v>
      </c>
      <c r="K15" s="13"/>
    </row>
    <row r="16" customFormat="false" ht="15" hidden="false" customHeight="false" outlineLevel="0" collapsed="false">
      <c r="B16" s="9" t="n">
        <v>4</v>
      </c>
      <c r="C16" s="9" t="s">
        <v>21</v>
      </c>
      <c r="D16" s="10" t="s">
        <v>31</v>
      </c>
      <c r="E16" s="10" t="s">
        <v>32</v>
      </c>
      <c r="F16" s="10" t="s">
        <v>33</v>
      </c>
      <c r="G16" s="11" t="n">
        <v>1.5</v>
      </c>
      <c r="H16" s="11" t="n">
        <v>1.2</v>
      </c>
      <c r="I16" s="11" t="n">
        <v>1.88</v>
      </c>
      <c r="J16" s="12" t="n">
        <v>0.001</v>
      </c>
      <c r="K16" s="13"/>
    </row>
    <row r="17" customFormat="false" ht="15" hidden="false" customHeight="false" outlineLevel="0" collapsed="false">
      <c r="B17" s="9" t="n">
        <v>5</v>
      </c>
      <c r="C17" s="9" t="s">
        <v>21</v>
      </c>
      <c r="D17" s="14"/>
      <c r="E17" s="14"/>
      <c r="F17" s="14"/>
      <c r="G17" s="15"/>
      <c r="H17" s="15"/>
      <c r="I17" s="15"/>
      <c r="J17" s="16"/>
      <c r="K17" s="13"/>
    </row>
    <row r="18" customFormat="false" ht="15" hidden="false" customHeight="false" outlineLevel="0" collapsed="false">
      <c r="B18" s="9" t="n">
        <v>6</v>
      </c>
      <c r="C18" s="9" t="s">
        <v>21</v>
      </c>
      <c r="D18" s="14"/>
      <c r="E18" s="14"/>
      <c r="F18" s="14"/>
      <c r="G18" s="15"/>
      <c r="H18" s="15"/>
      <c r="I18" s="15"/>
      <c r="J18" s="16"/>
      <c r="K18" s="13"/>
    </row>
    <row r="19" customFormat="false" ht="15" hidden="false" customHeight="false" outlineLevel="0" collapsed="false">
      <c r="B19" s="9" t="n">
        <v>7</v>
      </c>
      <c r="C19" s="9" t="s">
        <v>21</v>
      </c>
      <c r="D19" s="14"/>
      <c r="E19" s="14"/>
      <c r="F19" s="14"/>
      <c r="G19" s="15"/>
      <c r="H19" s="15"/>
      <c r="I19" s="15"/>
      <c r="J19" s="16"/>
      <c r="K19" s="13"/>
    </row>
    <row r="20" customFormat="false" ht="15" hidden="false" customHeight="false" outlineLevel="0" collapsed="false">
      <c r="B20" s="9" t="n">
        <v>8</v>
      </c>
      <c r="C20" s="9" t="s">
        <v>21</v>
      </c>
      <c r="D20" s="14"/>
      <c r="E20" s="14"/>
      <c r="F20" s="14"/>
      <c r="G20" s="15"/>
      <c r="H20" s="15"/>
      <c r="I20" s="15"/>
      <c r="J20" s="16"/>
      <c r="K20" s="13"/>
    </row>
    <row r="22" customFormat="false" ht="15" hidden="false" customHeight="true" outlineLevel="0" collapsed="false">
      <c r="B22" s="17" t="s">
        <v>34</v>
      </c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30" hidden="false" customHeight="true" outlineLevel="0" collapsed="false">
      <c r="B23" s="18" t="s">
        <v>11</v>
      </c>
      <c r="C23" s="18" t="s">
        <v>12</v>
      </c>
      <c r="D23" s="18" t="s">
        <v>13</v>
      </c>
      <c r="E23" s="18" t="s">
        <v>14</v>
      </c>
      <c r="F23" s="18" t="s">
        <v>15</v>
      </c>
      <c r="G23" s="18" t="s">
        <v>16</v>
      </c>
      <c r="H23" s="18" t="s">
        <v>17</v>
      </c>
      <c r="I23" s="18" t="s">
        <v>18</v>
      </c>
      <c r="J23" s="18" t="s">
        <v>19</v>
      </c>
      <c r="K23" s="18" t="s">
        <v>20</v>
      </c>
    </row>
    <row r="24" customFormat="false" ht="15" hidden="false" customHeight="false" outlineLevel="0" collapsed="false">
      <c r="B24" s="19" t="n">
        <v>1</v>
      </c>
      <c r="C24" s="19" t="s">
        <v>35</v>
      </c>
      <c r="D24" s="10" t="s">
        <v>36</v>
      </c>
      <c r="E24" s="10" t="s">
        <v>37</v>
      </c>
      <c r="F24" s="10" t="s">
        <v>38</v>
      </c>
      <c r="G24" s="11" t="n">
        <v>2.48</v>
      </c>
      <c r="H24" s="11" t="n">
        <v>1.62</v>
      </c>
      <c r="I24" s="11" t="n">
        <v>3.8</v>
      </c>
      <c r="J24" s="12" t="s">
        <v>39</v>
      </c>
      <c r="K24" s="13"/>
    </row>
    <row r="25" customFormat="false" ht="15" hidden="false" customHeight="false" outlineLevel="0" collapsed="false">
      <c r="B25" s="19" t="n">
        <v>2</v>
      </c>
      <c r="C25" s="19" t="s">
        <v>35</v>
      </c>
      <c r="D25" s="10" t="s">
        <v>40</v>
      </c>
      <c r="E25" s="10" t="s">
        <v>41</v>
      </c>
      <c r="F25" s="10" t="s">
        <v>42</v>
      </c>
      <c r="G25" s="11" t="n">
        <v>2.5</v>
      </c>
      <c r="H25" s="11" t="n">
        <v>1.3</v>
      </c>
      <c r="I25" s="11" t="n">
        <v>4.81</v>
      </c>
      <c r="J25" s="12" t="n">
        <v>0.006</v>
      </c>
      <c r="K25" s="13"/>
    </row>
    <row r="26" customFormat="false" ht="15" hidden="false" customHeight="false" outlineLevel="0" collapsed="false">
      <c r="B26" s="19" t="n">
        <v>3</v>
      </c>
      <c r="C26" s="19" t="s">
        <v>35</v>
      </c>
      <c r="D26" s="10" t="s">
        <v>43</v>
      </c>
      <c r="E26" s="10" t="s">
        <v>44</v>
      </c>
      <c r="F26" s="10" t="s">
        <v>45</v>
      </c>
      <c r="G26" s="11" t="n">
        <v>2.25</v>
      </c>
      <c r="H26" s="11" t="n">
        <v>1</v>
      </c>
      <c r="I26" s="11" t="n">
        <v>5.07</v>
      </c>
      <c r="J26" s="12" t="n">
        <v>0.05</v>
      </c>
      <c r="K26" s="13"/>
    </row>
    <row r="27" customFormat="false" ht="15" hidden="false" customHeight="false" outlineLevel="0" collapsed="false">
      <c r="B27" s="19" t="n">
        <v>4</v>
      </c>
      <c r="C27" s="19" t="s">
        <v>35</v>
      </c>
      <c r="D27" s="10" t="s">
        <v>46</v>
      </c>
      <c r="E27" s="10" t="s">
        <v>47</v>
      </c>
      <c r="F27" s="10" t="s">
        <v>48</v>
      </c>
      <c r="G27" s="11" t="n">
        <v>1.73</v>
      </c>
      <c r="H27" s="11" t="n">
        <v>1.3</v>
      </c>
      <c r="I27" s="11" t="n">
        <v>2.3</v>
      </c>
      <c r="J27" s="12" t="s">
        <v>39</v>
      </c>
      <c r="K27" s="13"/>
    </row>
    <row r="28" customFormat="false" ht="15" hidden="false" customHeight="false" outlineLevel="0" collapsed="false">
      <c r="B28" s="19" t="n">
        <v>5</v>
      </c>
      <c r="C28" s="19" t="s">
        <v>35</v>
      </c>
      <c r="D28" s="14"/>
      <c r="E28" s="14"/>
      <c r="F28" s="14"/>
      <c r="G28" s="15"/>
      <c r="H28" s="15"/>
      <c r="I28" s="15"/>
      <c r="J28" s="16"/>
      <c r="K28" s="13"/>
    </row>
    <row r="29" customFormat="false" ht="15" hidden="false" customHeight="false" outlineLevel="0" collapsed="false">
      <c r="B29" s="19" t="n">
        <v>6</v>
      </c>
      <c r="C29" s="19" t="s">
        <v>35</v>
      </c>
      <c r="D29" s="14"/>
      <c r="E29" s="14"/>
      <c r="F29" s="14"/>
      <c r="G29" s="15"/>
      <c r="H29" s="15"/>
      <c r="I29" s="15"/>
      <c r="J29" s="16"/>
      <c r="K29" s="13"/>
    </row>
    <row r="30" customFormat="false" ht="15" hidden="false" customHeight="false" outlineLevel="0" collapsed="false">
      <c r="B30" s="19" t="n">
        <v>7</v>
      </c>
      <c r="C30" s="19" t="s">
        <v>35</v>
      </c>
      <c r="D30" s="14"/>
      <c r="E30" s="14"/>
      <c r="F30" s="14"/>
      <c r="G30" s="15"/>
      <c r="H30" s="15"/>
      <c r="I30" s="15"/>
      <c r="J30" s="16"/>
      <c r="K30" s="13"/>
    </row>
    <row r="31" customFormat="false" ht="15" hidden="false" customHeight="false" outlineLevel="0" collapsed="false">
      <c r="B31" s="19" t="n">
        <v>8</v>
      </c>
      <c r="C31" s="19" t="s">
        <v>35</v>
      </c>
      <c r="D31" s="14"/>
      <c r="E31" s="14"/>
      <c r="F31" s="14"/>
      <c r="G31" s="15"/>
      <c r="H31" s="15"/>
      <c r="I31" s="15"/>
      <c r="J31" s="16"/>
      <c r="K31" s="13"/>
    </row>
  </sheetData>
  <mergeCells count="9">
    <mergeCell ref="B2:K2"/>
    <mergeCell ref="B3:K3"/>
    <mergeCell ref="B5:E5"/>
    <mergeCell ref="C6:E6"/>
    <mergeCell ref="C7:E7"/>
    <mergeCell ref="C8:E8"/>
    <mergeCell ref="C9:E9"/>
    <mergeCell ref="B11:K11"/>
    <mergeCell ref="B22:K22"/>
  </mergeCells>
  <dataValidations count="1">
    <dataValidation allowBlank="false" errorStyle="stop" operator="between" showDropDown="false" showErrorMessage="false" showInputMessage="false" sqref="C8" type="list">
      <formula1>"Risk Ratio,Odds Ratio,Hazard Ratio,Risk Difference,Mean Difference"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8"/>
    <col collapsed="false" customWidth="true" hidden="false" outlineLevel="0" max="11" min="11" style="0" width="25"/>
    <col collapsed="false" customWidth="true" hidden="false" outlineLevel="0" max="12" min="12" style="0" width="3"/>
  </cols>
  <sheetData>
    <row r="2" customFormat="false" ht="22.05" hidden="false" customHeight="true" outlineLevel="0" collapsed="false">
      <c r="B2" s="1" t="s">
        <v>49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50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4" t="s">
        <v>51</v>
      </c>
      <c r="D5" s="10" t="s">
        <v>52</v>
      </c>
      <c r="E5" s="20" t="n">
        <f aca="false">'1. Data Input'!C9</f>
        <v>1</v>
      </c>
      <c r="J5" s="21" t="n">
        <v>0</v>
      </c>
    </row>
    <row r="6" customFormat="false" ht="15" hidden="false" customHeight="false" outlineLevel="0" collapsed="false">
      <c r="B6" s="22" t="s">
        <v>11</v>
      </c>
      <c r="C6" s="22" t="s">
        <v>12</v>
      </c>
      <c r="D6" s="22" t="s">
        <v>13</v>
      </c>
      <c r="E6" s="22" t="s">
        <v>53</v>
      </c>
      <c r="F6" s="22" t="s">
        <v>54</v>
      </c>
      <c r="G6" s="22" t="s">
        <v>55</v>
      </c>
      <c r="H6" s="22" t="s">
        <v>56</v>
      </c>
      <c r="I6" s="22" t="s">
        <v>57</v>
      </c>
      <c r="J6" s="22" t="s">
        <v>58</v>
      </c>
      <c r="K6" s="22" t="s">
        <v>59</v>
      </c>
    </row>
    <row r="7" customFormat="false" ht="15" hidden="false" customHeight="true" outlineLevel="0" collapsed="false">
      <c r="B7" s="23" t="s">
        <v>60</v>
      </c>
      <c r="C7" s="23"/>
      <c r="D7" s="23"/>
      <c r="E7" s="23"/>
      <c r="F7" s="23"/>
      <c r="G7" s="23"/>
      <c r="H7" s="23"/>
      <c r="I7" s="23"/>
      <c r="J7" s="23"/>
      <c r="K7" s="23"/>
    </row>
    <row r="8" customFormat="false" ht="15" hidden="false" customHeight="false" outlineLevel="0" collapsed="false">
      <c r="B8" s="9" t="n">
        <v>1</v>
      </c>
      <c r="C8" s="9" t="s">
        <v>21</v>
      </c>
      <c r="D8" s="24" t="str">
        <f aca="false">IF('1. Data Input'!D13&lt;&gt;"",'1. Data Input'!D13,"")</f>
        <v>Overall Response</v>
      </c>
      <c r="E8" s="20" t="n">
        <f aca="false">IF('1. Data Input'!G13&lt;&gt;"",'1. Data Input'!G13,"")</f>
        <v>1.56</v>
      </c>
      <c r="F8" s="20" t="n">
        <f aca="false">IF('1. Data Input'!H13&lt;&gt;"",'1. Data Input'!H13,"")</f>
        <v>1.21</v>
      </c>
      <c r="G8" s="20" t="n">
        <f aca="false">IF('1. Data Input'!I13&lt;&gt;"",'1. Data Input'!I13,"")</f>
        <v>2.01</v>
      </c>
      <c r="H8" s="20" t="n">
        <f aca="false">IF(E8&lt;&gt;"",E8-F8,"")</f>
        <v>0.35</v>
      </c>
      <c r="I8" s="20" t="n">
        <f aca="false">IF(E8&lt;&gt;"",G8-E8,"")</f>
        <v>0.45</v>
      </c>
      <c r="J8" s="25" t="n">
        <f aca="false">IF(E8&lt;&gt;"",18,"")</f>
        <v>18</v>
      </c>
      <c r="K8" s="24" t="str">
        <f aca="false">IF(E8&lt;&gt;"",TEXT(E8,"0.00")&amp;" ("&amp;TEXT(F8,"0.00")&amp;"-"&amp;TEXT(G8,"0.00")&amp;")","")</f>
        <v>1.56 (1.21-2.01)</v>
      </c>
    </row>
    <row r="9" customFormat="false" ht="15" hidden="false" customHeight="false" outlineLevel="0" collapsed="false">
      <c r="B9" s="9" t="n">
        <v>2</v>
      </c>
      <c r="C9" s="9" t="s">
        <v>21</v>
      </c>
      <c r="D9" s="24" t="str">
        <f aca="false">IF('1. Data Input'!D14&lt;&gt;"",'1. Data Input'!D14,"")</f>
        <v>Complete Response</v>
      </c>
      <c r="E9" s="20" t="n">
        <f aca="false">IF('1. Data Input'!G14&lt;&gt;"",'1. Data Input'!G14,"")</f>
        <v>2.25</v>
      </c>
      <c r="F9" s="20" t="n">
        <f aca="false">IF('1. Data Input'!H14&lt;&gt;"",'1. Data Input'!H14,"")</f>
        <v>1.35</v>
      </c>
      <c r="G9" s="20" t="n">
        <f aca="false">IF('1. Data Input'!I14&lt;&gt;"",'1. Data Input'!I14,"")</f>
        <v>3.75</v>
      </c>
      <c r="H9" s="20" t="n">
        <f aca="false">IF(E9&lt;&gt;"",E9-F9,"")</f>
        <v>0.9</v>
      </c>
      <c r="I9" s="20" t="n">
        <f aca="false">IF(E9&lt;&gt;"",G9-E9,"")</f>
        <v>1.5</v>
      </c>
      <c r="J9" s="25" t="n">
        <f aca="false">IF(E9&lt;&gt;"",17,"")</f>
        <v>17</v>
      </c>
      <c r="K9" s="24" t="str">
        <f aca="false">IF(E9&lt;&gt;"",TEXT(E9,"0.00")&amp;" ("&amp;TEXT(F9,"0.00")&amp;"-"&amp;TEXT(G9,"0.00")&amp;")","")</f>
        <v>2.25 (1.35-3.75)</v>
      </c>
    </row>
    <row r="10" customFormat="false" ht="15" hidden="false" customHeight="false" outlineLevel="0" collapsed="false">
      <c r="B10" s="9" t="n">
        <v>3</v>
      </c>
      <c r="C10" s="9" t="s">
        <v>21</v>
      </c>
      <c r="D10" s="24" t="str">
        <f aca="false">IF('1. Data Input'!D15&lt;&gt;"",'1. Data Input'!D15,"")</f>
        <v>Disease Control</v>
      </c>
      <c r="E10" s="20" t="n">
        <f aca="false">IF('1. Data Input'!G15&lt;&gt;"",'1. Data Input'!G15,"")</f>
        <v>1.29</v>
      </c>
      <c r="F10" s="20" t="n">
        <f aca="false">IF('1. Data Input'!H15&lt;&gt;"",'1. Data Input'!H15,"")</f>
        <v>1.08</v>
      </c>
      <c r="G10" s="20" t="n">
        <f aca="false">IF('1. Data Input'!I15&lt;&gt;"",'1. Data Input'!I15,"")</f>
        <v>1.53</v>
      </c>
      <c r="H10" s="20" t="n">
        <f aca="false">IF(E10&lt;&gt;"",E10-F10,"")</f>
        <v>0.21</v>
      </c>
      <c r="I10" s="20" t="n">
        <f aca="false">IF(E10&lt;&gt;"",G10-E10,"")</f>
        <v>0.24</v>
      </c>
      <c r="J10" s="25" t="n">
        <f aca="false">IF(E10&lt;&gt;"",16,"")</f>
        <v>16</v>
      </c>
      <c r="K10" s="24" t="str">
        <f aca="false">IF(E10&lt;&gt;"",TEXT(E10,"0.00")&amp;" ("&amp;TEXT(F10,"0.00")&amp;"-"&amp;TEXT(G10,"0.00")&amp;")","")</f>
        <v>1.29 (1.08-1.53)</v>
      </c>
    </row>
    <row r="11" customFormat="false" ht="15" hidden="false" customHeight="false" outlineLevel="0" collapsed="false">
      <c r="B11" s="9" t="n">
        <v>4</v>
      </c>
      <c r="C11" s="9" t="s">
        <v>21</v>
      </c>
      <c r="D11" s="24" t="str">
        <f aca="false">IF('1. Data Input'!D16&lt;&gt;"",'1. Data Input'!D16,"")</f>
        <v>Quality of Life Improvement</v>
      </c>
      <c r="E11" s="20" t="n">
        <f aca="false">IF('1. Data Input'!G16&lt;&gt;"",'1. Data Input'!G16,"")</f>
        <v>1.5</v>
      </c>
      <c r="F11" s="20" t="n">
        <f aca="false">IF('1. Data Input'!H16&lt;&gt;"",'1. Data Input'!H16,"")</f>
        <v>1.2</v>
      </c>
      <c r="G11" s="20" t="n">
        <f aca="false">IF('1. Data Input'!I16&lt;&gt;"",'1. Data Input'!I16,"")</f>
        <v>1.88</v>
      </c>
      <c r="H11" s="20" t="n">
        <f aca="false">IF(E11&lt;&gt;"",E11-F11,"")</f>
        <v>0.3</v>
      </c>
      <c r="I11" s="20" t="n">
        <f aca="false">IF(E11&lt;&gt;"",G11-E11,"")</f>
        <v>0.38</v>
      </c>
      <c r="J11" s="25" t="n">
        <f aca="false">IF(E11&lt;&gt;"",15,"")</f>
        <v>15</v>
      </c>
      <c r="K11" s="24" t="str">
        <f aca="false">IF(E11&lt;&gt;"",TEXT(E11,"0.00")&amp;" ("&amp;TEXT(F11,"0.00")&amp;"-"&amp;TEXT(G11,"0.00")&amp;")","")</f>
        <v>1.50 (1.20-1.88)</v>
      </c>
    </row>
    <row r="12" customFormat="false" ht="15" hidden="false" customHeight="false" outlineLevel="0" collapsed="false">
      <c r="B12" s="9" t="n">
        <v>5</v>
      </c>
      <c r="C12" s="9" t="s">
        <v>21</v>
      </c>
      <c r="D12" s="24" t="str">
        <f aca="false">IF('1. Data Input'!D17&lt;&gt;"",'1. Data Input'!D17,"")</f>
        <v/>
      </c>
      <c r="E12" s="20" t="str">
        <f aca="false">IF('1. Data Input'!G17&lt;&gt;"",'1. Data Input'!G17,"")</f>
        <v/>
      </c>
      <c r="F12" s="20" t="str">
        <f aca="false">IF('1. Data Input'!H17&lt;&gt;"",'1. Data Input'!H17,"")</f>
        <v/>
      </c>
      <c r="G12" s="20" t="str">
        <f aca="false">IF('1. Data Input'!I17&lt;&gt;"",'1. Data Input'!I17,"")</f>
        <v/>
      </c>
      <c r="H12" s="20" t="str">
        <f aca="false">IF(E12&lt;&gt;"",E12-F12,"")</f>
        <v/>
      </c>
      <c r="I12" s="20" t="str">
        <f aca="false">IF(E12&lt;&gt;"",G12-E12,"")</f>
        <v/>
      </c>
      <c r="J12" s="25" t="str">
        <f aca="false">IF(E12&lt;&gt;"",14,"")</f>
        <v/>
      </c>
      <c r="K12" s="24" t="str">
        <f aca="false">IF(E12&lt;&gt;"",TEXT(E12,"0.00")&amp;" ("&amp;TEXT(F12,"0.00")&amp;"-"&amp;TEXT(G12,"0.00")&amp;")","")</f>
        <v/>
      </c>
    </row>
    <row r="13" customFormat="false" ht="15" hidden="false" customHeight="false" outlineLevel="0" collapsed="false">
      <c r="B13" s="9" t="n">
        <v>6</v>
      </c>
      <c r="C13" s="9" t="s">
        <v>21</v>
      </c>
      <c r="D13" s="24" t="str">
        <f aca="false">IF('1. Data Input'!D18&lt;&gt;"",'1. Data Input'!D18,"")</f>
        <v/>
      </c>
      <c r="E13" s="20" t="str">
        <f aca="false">IF('1. Data Input'!G18&lt;&gt;"",'1. Data Input'!G18,"")</f>
        <v/>
      </c>
      <c r="F13" s="20" t="str">
        <f aca="false">IF('1. Data Input'!H18&lt;&gt;"",'1. Data Input'!H18,"")</f>
        <v/>
      </c>
      <c r="G13" s="20" t="str">
        <f aca="false">IF('1. Data Input'!I18&lt;&gt;"",'1. Data Input'!I18,"")</f>
        <v/>
      </c>
      <c r="H13" s="20" t="str">
        <f aca="false">IF(E13&lt;&gt;"",E13-F13,"")</f>
        <v/>
      </c>
      <c r="I13" s="20" t="str">
        <f aca="false">IF(E13&lt;&gt;"",G13-E13,"")</f>
        <v/>
      </c>
      <c r="J13" s="25" t="str">
        <f aca="false">IF(E13&lt;&gt;"",13,"")</f>
        <v/>
      </c>
      <c r="K13" s="24" t="str">
        <f aca="false">IF(E13&lt;&gt;"",TEXT(E13,"0.00")&amp;" ("&amp;TEXT(F13,"0.00")&amp;"-"&amp;TEXT(G13,"0.00")&amp;")","")</f>
        <v/>
      </c>
    </row>
    <row r="14" customFormat="false" ht="15" hidden="false" customHeight="false" outlineLevel="0" collapsed="false">
      <c r="B14" s="9" t="n">
        <v>7</v>
      </c>
      <c r="C14" s="9" t="s">
        <v>21</v>
      </c>
      <c r="D14" s="24" t="str">
        <f aca="false">IF('1. Data Input'!D19&lt;&gt;"",'1. Data Input'!D19,"")</f>
        <v/>
      </c>
      <c r="E14" s="20" t="str">
        <f aca="false">IF('1. Data Input'!G19&lt;&gt;"",'1. Data Input'!G19,"")</f>
        <v/>
      </c>
      <c r="F14" s="20" t="str">
        <f aca="false">IF('1. Data Input'!H19&lt;&gt;"",'1. Data Input'!H19,"")</f>
        <v/>
      </c>
      <c r="G14" s="20" t="str">
        <f aca="false">IF('1. Data Input'!I19&lt;&gt;"",'1. Data Input'!I19,"")</f>
        <v/>
      </c>
      <c r="H14" s="20" t="str">
        <f aca="false">IF(E14&lt;&gt;"",E14-F14,"")</f>
        <v/>
      </c>
      <c r="I14" s="20" t="str">
        <f aca="false">IF(E14&lt;&gt;"",G14-E14,"")</f>
        <v/>
      </c>
      <c r="J14" s="25" t="str">
        <f aca="false">IF(E14&lt;&gt;"",12,"")</f>
        <v/>
      </c>
      <c r="K14" s="24" t="str">
        <f aca="false">IF(E14&lt;&gt;"",TEXT(E14,"0.00")&amp;" ("&amp;TEXT(F14,"0.00")&amp;"-"&amp;TEXT(G14,"0.00")&amp;")","")</f>
        <v/>
      </c>
    </row>
    <row r="15" customFormat="false" ht="15" hidden="false" customHeight="false" outlineLevel="0" collapsed="false">
      <c r="B15" s="9" t="n">
        <v>8</v>
      </c>
      <c r="C15" s="9" t="s">
        <v>21</v>
      </c>
      <c r="D15" s="24" t="str">
        <f aca="false">IF('1. Data Input'!D20&lt;&gt;"",'1. Data Input'!D20,"")</f>
        <v/>
      </c>
      <c r="E15" s="20" t="str">
        <f aca="false">IF('1. Data Input'!G20&lt;&gt;"",'1. Data Input'!G20,"")</f>
        <v/>
      </c>
      <c r="F15" s="20" t="str">
        <f aca="false">IF('1. Data Input'!H20&lt;&gt;"",'1. Data Input'!H20,"")</f>
        <v/>
      </c>
      <c r="G15" s="20" t="str">
        <f aca="false">IF('1. Data Input'!I20&lt;&gt;"",'1. Data Input'!I20,"")</f>
        <v/>
      </c>
      <c r="H15" s="20" t="str">
        <f aca="false">IF(E15&lt;&gt;"",E15-F15,"")</f>
        <v/>
      </c>
      <c r="I15" s="20" t="str">
        <f aca="false">IF(E15&lt;&gt;"",G15-E15,"")</f>
        <v/>
      </c>
      <c r="J15" s="25" t="str">
        <f aca="false">IF(E15&lt;&gt;"",11,"")</f>
        <v/>
      </c>
      <c r="K15" s="24" t="str">
        <f aca="false">IF(E15&lt;&gt;"",TEXT(E15,"0.00")&amp;" ("&amp;TEXT(F15,"0.00")&amp;"-"&amp;TEXT(G15,"0.00")&amp;")","")</f>
        <v/>
      </c>
    </row>
    <row r="16" customFormat="false" ht="15" hidden="false" customHeight="true" outlineLevel="0" collapsed="false">
      <c r="B16" s="26" t="s">
        <v>61</v>
      </c>
      <c r="C16" s="26"/>
      <c r="D16" s="26"/>
      <c r="E16" s="26"/>
      <c r="F16" s="26"/>
      <c r="G16" s="26"/>
      <c r="H16" s="26"/>
      <c r="I16" s="26"/>
      <c r="J16" s="26"/>
      <c r="K16" s="26"/>
    </row>
    <row r="17" customFormat="false" ht="15" hidden="false" customHeight="false" outlineLevel="0" collapsed="false">
      <c r="B17" s="19" t="n">
        <v>1</v>
      </c>
      <c r="C17" s="19" t="s">
        <v>35</v>
      </c>
      <c r="D17" s="24" t="str">
        <f aca="false">IF('1. Data Input'!D24&lt;&gt;"",'1. Data Input'!D24,"")</f>
        <v>Grade 3+ Neutropenia</v>
      </c>
      <c r="E17" s="20" t="n">
        <f aca="false">IF('1. Data Input'!G24&lt;&gt;"",'1. Data Input'!G24,"")</f>
        <v>2.48</v>
      </c>
      <c r="F17" s="20" t="n">
        <f aca="false">IF('1. Data Input'!H24&lt;&gt;"",'1. Data Input'!H24,"")</f>
        <v>1.62</v>
      </c>
      <c r="G17" s="20" t="n">
        <f aca="false">IF('1. Data Input'!I24&lt;&gt;"",'1. Data Input'!I24,"")</f>
        <v>3.8</v>
      </c>
      <c r="H17" s="20" t="n">
        <f aca="false">IF(E17&lt;&gt;"",E17-F17,"")</f>
        <v>0.86</v>
      </c>
      <c r="I17" s="20" t="n">
        <f aca="false">IF(E17&lt;&gt;"",G17-E17,"")</f>
        <v>1.32</v>
      </c>
      <c r="J17" s="25" t="n">
        <f aca="false">IF(E17&lt;&gt;"",9,"")</f>
        <v>9</v>
      </c>
      <c r="K17" s="24" t="str">
        <f aca="false">IF(E17&lt;&gt;"",TEXT(E17,"0.00")&amp;" ("&amp;TEXT(F17,"0.00")&amp;"-"&amp;TEXT(G17,"0.00")&amp;")","")</f>
        <v>2.48 (1.62-3.80)</v>
      </c>
    </row>
    <row r="18" customFormat="false" ht="15" hidden="false" customHeight="false" outlineLevel="0" collapsed="false">
      <c r="B18" s="19" t="n">
        <v>2</v>
      </c>
      <c r="C18" s="19" t="s">
        <v>35</v>
      </c>
      <c r="D18" s="24" t="str">
        <f aca="false">IF('1. Data Input'!D25&lt;&gt;"",'1. Data Input'!D25,"")</f>
        <v>Treatment Discontinuation</v>
      </c>
      <c r="E18" s="20" t="n">
        <f aca="false">IF('1. Data Input'!G25&lt;&gt;"",'1. Data Input'!G25,"")</f>
        <v>2.5</v>
      </c>
      <c r="F18" s="20" t="n">
        <f aca="false">IF('1. Data Input'!H25&lt;&gt;"",'1. Data Input'!H25,"")</f>
        <v>1.3</v>
      </c>
      <c r="G18" s="20" t="n">
        <f aca="false">IF('1. Data Input'!I25&lt;&gt;"",'1. Data Input'!I25,"")</f>
        <v>4.81</v>
      </c>
      <c r="H18" s="20" t="n">
        <f aca="false">IF(E18&lt;&gt;"",E18-F18,"")</f>
        <v>1.2</v>
      </c>
      <c r="I18" s="20" t="n">
        <f aca="false">IF(E18&lt;&gt;"",G18-E18,"")</f>
        <v>2.31</v>
      </c>
      <c r="J18" s="25" t="n">
        <f aca="false">IF(E18&lt;&gt;"",8,"")</f>
        <v>8</v>
      </c>
      <c r="K18" s="24" t="str">
        <f aca="false">IF(E18&lt;&gt;"",TEXT(E18,"0.00")&amp;" ("&amp;TEXT(F18,"0.00")&amp;"-"&amp;TEXT(G18,"0.00")&amp;")","")</f>
        <v>2.50 (1.30-4.81)</v>
      </c>
    </row>
    <row r="19" customFormat="false" ht="15" hidden="false" customHeight="false" outlineLevel="0" collapsed="false">
      <c r="B19" s="19" t="n">
        <v>3</v>
      </c>
      <c r="C19" s="19" t="s">
        <v>35</v>
      </c>
      <c r="D19" s="24" t="str">
        <f aca="false">IF('1. Data Input'!D26&lt;&gt;"",'1. Data Input'!D26,"")</f>
        <v>Serious Infections</v>
      </c>
      <c r="E19" s="20" t="n">
        <f aca="false">IF('1. Data Input'!G26&lt;&gt;"",'1. Data Input'!G26,"")</f>
        <v>2.25</v>
      </c>
      <c r="F19" s="20" t="n">
        <f aca="false">IF('1. Data Input'!H26&lt;&gt;"",'1. Data Input'!H26,"")</f>
        <v>1</v>
      </c>
      <c r="G19" s="20" t="n">
        <f aca="false">IF('1. Data Input'!I26&lt;&gt;"",'1. Data Input'!I26,"")</f>
        <v>5.07</v>
      </c>
      <c r="H19" s="20" t="n">
        <f aca="false">IF(E19&lt;&gt;"",E19-F19,"")</f>
        <v>1.25</v>
      </c>
      <c r="I19" s="20" t="n">
        <f aca="false">IF(E19&lt;&gt;"",G19-E19,"")</f>
        <v>2.82</v>
      </c>
      <c r="J19" s="25" t="n">
        <f aca="false">IF(E19&lt;&gt;"",7,"")</f>
        <v>7</v>
      </c>
      <c r="K19" s="24" t="str">
        <f aca="false">IF(E19&lt;&gt;"",TEXT(E19,"0.00")&amp;" ("&amp;TEXT(F19,"0.00")&amp;"-"&amp;TEXT(G19,"0.00")&amp;")","")</f>
        <v>2.25 (1.00-5.07)</v>
      </c>
    </row>
    <row r="20" customFormat="false" ht="15" hidden="false" customHeight="false" outlineLevel="0" collapsed="false">
      <c r="B20" s="19" t="n">
        <v>4</v>
      </c>
      <c r="C20" s="19" t="s">
        <v>35</v>
      </c>
      <c r="D20" s="24" t="str">
        <f aca="false">IF('1. Data Input'!D27&lt;&gt;"",'1. Data Input'!D27,"")</f>
        <v>Any Grade 3+ AE</v>
      </c>
      <c r="E20" s="20" t="n">
        <f aca="false">IF('1. Data Input'!G27&lt;&gt;"",'1. Data Input'!G27,"")</f>
        <v>1.73</v>
      </c>
      <c r="F20" s="20" t="n">
        <f aca="false">IF('1. Data Input'!H27&lt;&gt;"",'1. Data Input'!H27,"")</f>
        <v>1.3</v>
      </c>
      <c r="G20" s="20" t="n">
        <f aca="false">IF('1. Data Input'!I27&lt;&gt;"",'1. Data Input'!I27,"")</f>
        <v>2.3</v>
      </c>
      <c r="H20" s="20" t="n">
        <f aca="false">IF(E20&lt;&gt;"",E20-F20,"")</f>
        <v>0.43</v>
      </c>
      <c r="I20" s="20" t="n">
        <f aca="false">IF(E20&lt;&gt;"",G20-E20,"")</f>
        <v>0.57</v>
      </c>
      <c r="J20" s="25" t="n">
        <f aca="false">IF(E20&lt;&gt;"",6,"")</f>
        <v>6</v>
      </c>
      <c r="K20" s="24" t="str">
        <f aca="false">IF(E20&lt;&gt;"",TEXT(E20,"0.00")&amp;" ("&amp;TEXT(F20,"0.00")&amp;"-"&amp;TEXT(G20,"0.00")&amp;")","")</f>
        <v>1.73 (1.30-2.30)</v>
      </c>
    </row>
    <row r="21" customFormat="false" ht="15" hidden="false" customHeight="false" outlineLevel="0" collapsed="false">
      <c r="B21" s="19" t="n">
        <v>5</v>
      </c>
      <c r="C21" s="19" t="s">
        <v>35</v>
      </c>
      <c r="D21" s="24" t="str">
        <f aca="false">IF('1. Data Input'!D28&lt;&gt;"",'1. Data Input'!D28,"")</f>
        <v/>
      </c>
      <c r="E21" s="20" t="str">
        <f aca="false">IF('1. Data Input'!G28&lt;&gt;"",'1. Data Input'!G28,"")</f>
        <v/>
      </c>
      <c r="F21" s="20" t="str">
        <f aca="false">IF('1. Data Input'!H28&lt;&gt;"",'1. Data Input'!H28,"")</f>
        <v/>
      </c>
      <c r="G21" s="20" t="str">
        <f aca="false">IF('1. Data Input'!I28&lt;&gt;"",'1. Data Input'!I28,"")</f>
        <v/>
      </c>
      <c r="H21" s="20" t="str">
        <f aca="false">IF(E21&lt;&gt;"",E21-F21,"")</f>
        <v/>
      </c>
      <c r="I21" s="20" t="str">
        <f aca="false">IF(E21&lt;&gt;"",G21-E21,"")</f>
        <v/>
      </c>
      <c r="J21" s="25" t="str">
        <f aca="false">IF(E21&lt;&gt;"",5,"")</f>
        <v/>
      </c>
      <c r="K21" s="24" t="str">
        <f aca="false">IF(E21&lt;&gt;"",TEXT(E21,"0.00")&amp;" ("&amp;TEXT(F21,"0.00")&amp;"-"&amp;TEXT(G21,"0.00")&amp;")","")</f>
        <v/>
      </c>
    </row>
    <row r="22" customFormat="false" ht="15" hidden="false" customHeight="false" outlineLevel="0" collapsed="false">
      <c r="B22" s="19" t="n">
        <v>6</v>
      </c>
      <c r="C22" s="19" t="s">
        <v>35</v>
      </c>
      <c r="D22" s="24" t="str">
        <f aca="false">IF('1. Data Input'!D29&lt;&gt;"",'1. Data Input'!D29,"")</f>
        <v/>
      </c>
      <c r="E22" s="20" t="str">
        <f aca="false">IF('1. Data Input'!G29&lt;&gt;"",'1. Data Input'!G29,"")</f>
        <v/>
      </c>
      <c r="F22" s="20" t="str">
        <f aca="false">IF('1. Data Input'!H29&lt;&gt;"",'1. Data Input'!H29,"")</f>
        <v/>
      </c>
      <c r="G22" s="20" t="str">
        <f aca="false">IF('1. Data Input'!I29&lt;&gt;"",'1. Data Input'!I29,"")</f>
        <v/>
      </c>
      <c r="H22" s="20" t="str">
        <f aca="false">IF(E22&lt;&gt;"",E22-F22,"")</f>
        <v/>
      </c>
      <c r="I22" s="20" t="str">
        <f aca="false">IF(E22&lt;&gt;"",G22-E22,"")</f>
        <v/>
      </c>
      <c r="J22" s="25" t="str">
        <f aca="false">IF(E22&lt;&gt;"",4,"")</f>
        <v/>
      </c>
      <c r="K22" s="24" t="str">
        <f aca="false">IF(E22&lt;&gt;"",TEXT(E22,"0.00")&amp;" ("&amp;TEXT(F22,"0.00")&amp;"-"&amp;TEXT(G22,"0.00")&amp;")","")</f>
        <v/>
      </c>
    </row>
    <row r="23" customFormat="false" ht="15" hidden="false" customHeight="false" outlineLevel="0" collapsed="false">
      <c r="B23" s="19" t="n">
        <v>7</v>
      </c>
      <c r="C23" s="19" t="s">
        <v>35</v>
      </c>
      <c r="D23" s="24" t="str">
        <f aca="false">IF('1. Data Input'!D30&lt;&gt;"",'1. Data Input'!D30,"")</f>
        <v/>
      </c>
      <c r="E23" s="20" t="str">
        <f aca="false">IF('1. Data Input'!G30&lt;&gt;"",'1. Data Input'!G30,"")</f>
        <v/>
      </c>
      <c r="F23" s="20" t="str">
        <f aca="false">IF('1. Data Input'!H30&lt;&gt;"",'1. Data Input'!H30,"")</f>
        <v/>
      </c>
      <c r="G23" s="20" t="str">
        <f aca="false">IF('1. Data Input'!I30&lt;&gt;"",'1. Data Input'!I30,"")</f>
        <v/>
      </c>
      <c r="H23" s="20" t="str">
        <f aca="false">IF(E23&lt;&gt;"",E23-F23,"")</f>
        <v/>
      </c>
      <c r="I23" s="20" t="str">
        <f aca="false">IF(E23&lt;&gt;"",G23-E23,"")</f>
        <v/>
      </c>
      <c r="J23" s="25" t="str">
        <f aca="false">IF(E23&lt;&gt;"",3,"")</f>
        <v/>
      </c>
      <c r="K23" s="24" t="str">
        <f aca="false">IF(E23&lt;&gt;"",TEXT(E23,"0.00")&amp;" ("&amp;TEXT(F23,"0.00")&amp;"-"&amp;TEXT(G23,"0.00")&amp;")","")</f>
        <v/>
      </c>
    </row>
    <row r="24" customFormat="false" ht="15" hidden="false" customHeight="false" outlineLevel="0" collapsed="false">
      <c r="B24" s="19" t="n">
        <v>8</v>
      </c>
      <c r="C24" s="19" t="s">
        <v>35</v>
      </c>
      <c r="D24" s="24" t="str">
        <f aca="false">IF('1. Data Input'!D31&lt;&gt;"",'1. Data Input'!D31,"")</f>
        <v/>
      </c>
      <c r="E24" s="20" t="str">
        <f aca="false">IF('1. Data Input'!G31&lt;&gt;"",'1. Data Input'!G31,"")</f>
        <v/>
      </c>
      <c r="F24" s="20" t="str">
        <f aca="false">IF('1. Data Input'!H31&lt;&gt;"",'1. Data Input'!H31,"")</f>
        <v/>
      </c>
      <c r="G24" s="20" t="str">
        <f aca="false">IF('1. Data Input'!I31&lt;&gt;"",'1. Data Input'!I31,"")</f>
        <v/>
      </c>
      <c r="H24" s="20" t="str">
        <f aca="false">IF(E24&lt;&gt;"",E24-F24,"")</f>
        <v/>
      </c>
      <c r="I24" s="20" t="str">
        <f aca="false">IF(E24&lt;&gt;"",G24-E24,"")</f>
        <v/>
      </c>
      <c r="J24" s="25" t="str">
        <f aca="false">IF(E24&lt;&gt;"",2,"")</f>
        <v/>
      </c>
      <c r="K24" s="24" t="str">
        <f aca="false">IF(E24&lt;&gt;"",TEXT(E24,"0.00")&amp;" ("&amp;TEXT(F24,"0.00")&amp;"-"&amp;TEXT(G24,"0.00")&amp;")","")</f>
        <v/>
      </c>
    </row>
    <row r="26" customFormat="false" ht="15" hidden="false" customHeight="true" outlineLevel="0" collapsed="false">
      <c r="B26" s="27" t="s">
        <v>62</v>
      </c>
      <c r="C26" s="27"/>
      <c r="D26" s="27"/>
      <c r="E26" s="27"/>
      <c r="F26" s="27"/>
      <c r="G26" s="27"/>
      <c r="H26" s="27"/>
      <c r="I26" s="27"/>
      <c r="J26" s="27"/>
      <c r="K26" s="27"/>
    </row>
    <row r="27" customFormat="false" ht="15" hidden="false" customHeight="false" outlineLevel="0" collapsed="false">
      <c r="B27" s="28" t="s">
        <v>63</v>
      </c>
      <c r="C27" s="28"/>
      <c r="D27" s="28"/>
      <c r="E27" s="28"/>
      <c r="F27" s="28"/>
      <c r="G27" s="28"/>
      <c r="H27" s="28"/>
      <c r="I27" s="28"/>
      <c r="J27" s="28"/>
      <c r="K27" s="28"/>
    </row>
    <row r="28" customFormat="false" ht="15" hidden="false" customHeight="false" outlineLevel="0" collapsed="false">
      <c r="B28" s="28" t="s">
        <v>64</v>
      </c>
      <c r="C28" s="28"/>
      <c r="D28" s="28"/>
      <c r="E28" s="28"/>
      <c r="F28" s="28"/>
      <c r="G28" s="28"/>
      <c r="H28" s="28"/>
      <c r="I28" s="28"/>
      <c r="J28" s="28"/>
      <c r="K28" s="28"/>
    </row>
    <row r="29" customFormat="false" ht="15" hidden="false" customHeight="false" outlineLevel="0" collapsed="false">
      <c r="B29" s="28" t="s">
        <v>65</v>
      </c>
      <c r="C29" s="28"/>
      <c r="D29" s="28"/>
      <c r="E29" s="28"/>
      <c r="F29" s="28"/>
      <c r="G29" s="28"/>
      <c r="H29" s="28"/>
      <c r="I29" s="28"/>
      <c r="J29" s="28"/>
      <c r="K29" s="28"/>
    </row>
    <row r="30" customFormat="false" ht="15" hidden="false" customHeight="false" outlineLevel="0" collapsed="false">
      <c r="B30" s="28" t="s">
        <v>66</v>
      </c>
      <c r="C30" s="28"/>
      <c r="D30" s="28"/>
      <c r="E30" s="28"/>
      <c r="F30" s="28"/>
      <c r="G30" s="28"/>
      <c r="H30" s="28"/>
      <c r="I30" s="28"/>
      <c r="J30" s="28"/>
      <c r="K30" s="28"/>
    </row>
    <row r="31" customFormat="false" ht="15" hidden="false" customHeight="false" outlineLevel="0" collapsed="false">
      <c r="B31" s="28" t="s">
        <v>67</v>
      </c>
      <c r="C31" s="28"/>
      <c r="D31" s="28"/>
      <c r="E31" s="28"/>
      <c r="F31" s="28"/>
      <c r="G31" s="28"/>
      <c r="H31" s="28"/>
      <c r="I31" s="28"/>
      <c r="J31" s="28"/>
      <c r="K31" s="28"/>
    </row>
    <row r="32" customFormat="false" ht="15" hidden="false" customHeight="false" outlineLevel="0" collapsed="false">
      <c r="B32" s="28" t="s">
        <v>68</v>
      </c>
      <c r="C32" s="28"/>
      <c r="D32" s="28"/>
      <c r="E32" s="28"/>
      <c r="F32" s="28"/>
      <c r="G32" s="28"/>
      <c r="H32" s="28"/>
      <c r="I32" s="28"/>
      <c r="J32" s="28"/>
      <c r="K32" s="28"/>
    </row>
  </sheetData>
  <mergeCells count="11">
    <mergeCell ref="B2:K2"/>
    <mergeCell ref="B3:K3"/>
    <mergeCell ref="B7:K7"/>
    <mergeCell ref="B16:K16"/>
    <mergeCell ref="B26:K26"/>
    <mergeCell ref="B27:K27"/>
    <mergeCell ref="B28:K28"/>
    <mergeCell ref="B29:K29"/>
    <mergeCell ref="B30:K30"/>
    <mergeCell ref="B31:K31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3"/>
  </cols>
  <sheetData>
    <row r="2" customFormat="false" ht="22.05" hidden="false" customHeight="false" outlineLevel="0" collapsed="false">
      <c r="B2" s="29" t="s">
        <v>69</v>
      </c>
    </row>
    <row r="3" customFormat="false" ht="15" hidden="false" customHeight="false" outlineLevel="0" collapsed="false">
      <c r="B3" s="30" t="s">
        <v>70</v>
      </c>
    </row>
    <row r="5" customFormat="false" ht="15" hidden="false" customHeight="false" outlineLevel="0" collapsed="false">
      <c r="B5" s="31" t="s">
        <v>71</v>
      </c>
    </row>
    <row r="6" customFormat="false" ht="15" hidden="false" customHeight="false" outlineLevel="0" collapsed="false">
      <c r="B6" s="32" t="s">
        <v>72</v>
      </c>
    </row>
    <row r="7" customFormat="false" ht="15" hidden="false" customHeight="false" outlineLevel="0" collapsed="false">
      <c r="B7" s="32" t="s">
        <v>73</v>
      </c>
    </row>
    <row r="8" customFormat="false" ht="15" hidden="false" customHeight="false" outlineLevel="0" collapsed="false">
      <c r="B8" s="32" t="s">
        <v>74</v>
      </c>
    </row>
    <row r="9" customFormat="false" ht="15" hidden="false" customHeight="false" outlineLevel="0" collapsed="false">
      <c r="B9" s="32" t="s">
        <v>72</v>
      </c>
    </row>
    <row r="10" customFormat="false" ht="15" hidden="false" customHeight="false" outlineLevel="0" collapsed="false">
      <c r="B10" s="32"/>
    </row>
    <row r="11" customFormat="false" ht="15" hidden="false" customHeight="false" outlineLevel="0" collapsed="false">
      <c r="B11" s="32" t="s">
        <v>75</v>
      </c>
    </row>
    <row r="12" customFormat="false" ht="15" hidden="false" customHeight="false" outlineLevel="0" collapsed="false">
      <c r="B12" s="32" t="s">
        <v>76</v>
      </c>
    </row>
    <row r="13" customFormat="false" ht="15" hidden="false" customHeight="false" outlineLevel="0" collapsed="false">
      <c r="B13" s="32" t="s">
        <v>77</v>
      </c>
    </row>
    <row r="14" customFormat="false" ht="15" hidden="false" customHeight="false" outlineLevel="0" collapsed="false">
      <c r="B14" s="32" t="s">
        <v>78</v>
      </c>
    </row>
    <row r="15" customFormat="false" ht="15" hidden="false" customHeight="false" outlineLevel="0" collapsed="false">
      <c r="B15" s="32" t="s">
        <v>79</v>
      </c>
    </row>
    <row r="16" customFormat="false" ht="15" hidden="false" customHeight="false" outlineLevel="0" collapsed="false">
      <c r="B16" s="32" t="s">
        <v>80</v>
      </c>
    </row>
    <row r="17" customFormat="false" ht="15" hidden="false" customHeight="false" outlineLevel="0" collapsed="false">
      <c r="B17" s="32" t="s">
        <v>81</v>
      </c>
    </row>
    <row r="18" customFormat="false" ht="15" hidden="false" customHeight="false" outlineLevel="0" collapsed="false">
      <c r="B18" s="32" t="s">
        <v>82</v>
      </c>
    </row>
    <row r="19" customFormat="false" ht="15" hidden="false" customHeight="false" outlineLevel="0" collapsed="false">
      <c r="B19" s="32" t="s">
        <v>83</v>
      </c>
    </row>
    <row r="20" customFormat="false" ht="15" hidden="false" customHeight="false" outlineLevel="0" collapsed="false">
      <c r="B20" s="32" t="s">
        <v>84</v>
      </c>
    </row>
    <row r="21" customFormat="false" ht="15" hidden="false" customHeight="false" outlineLevel="0" collapsed="false">
      <c r="B21" s="32" t="s">
        <v>85</v>
      </c>
    </row>
    <row r="22" customFormat="false" ht="15" hidden="false" customHeight="false" outlineLevel="0" collapsed="false">
      <c r="B22" s="32" t="s">
        <v>86</v>
      </c>
    </row>
    <row r="23" customFormat="false" ht="15" hidden="false" customHeight="false" outlineLevel="0" collapsed="false">
      <c r="B23" s="32" t="s">
        <v>87</v>
      </c>
    </row>
    <row r="24" customFormat="false" ht="15" hidden="false" customHeight="false" outlineLevel="0" collapsed="false">
      <c r="B24" s="32" t="s">
        <v>88</v>
      </c>
    </row>
    <row r="25" customFormat="false" ht="15" hidden="false" customHeight="false" outlineLevel="0" collapsed="false">
      <c r="B25" s="32" t="s">
        <v>83</v>
      </c>
    </row>
    <row r="26" customFormat="false" ht="15" hidden="false" customHeight="false" outlineLevel="0" collapsed="false">
      <c r="B26" s="32" t="s">
        <v>89</v>
      </c>
    </row>
    <row r="27" customFormat="false" ht="15" hidden="false" customHeight="false" outlineLevel="0" collapsed="false">
      <c r="B27" s="32" t="s">
        <v>90</v>
      </c>
    </row>
    <row r="28" customFormat="false" ht="15" hidden="false" customHeight="false" outlineLevel="0" collapsed="false">
      <c r="B28" s="32" t="s">
        <v>91</v>
      </c>
    </row>
    <row r="29" customFormat="false" ht="15" hidden="false" customHeight="false" outlineLevel="0" collapsed="false">
      <c r="B29" s="32" t="s">
        <v>92</v>
      </c>
    </row>
    <row r="30" customFormat="false" ht="15" hidden="false" customHeight="false" outlineLevel="0" collapsed="false">
      <c r="B30" s="32" t="s">
        <v>93</v>
      </c>
    </row>
    <row r="31" customFormat="false" ht="15" hidden="false" customHeight="false" outlineLevel="0" collapsed="false">
      <c r="B31" s="32" t="s">
        <v>83</v>
      </c>
    </row>
    <row r="32" customFormat="false" ht="15" hidden="false" customHeight="false" outlineLevel="0" collapsed="false">
      <c r="B32" s="32" t="s">
        <v>94</v>
      </c>
    </row>
    <row r="33" customFormat="false" ht="15" hidden="false" customHeight="false" outlineLevel="0" collapsed="false">
      <c r="B33" s="32" t="s">
        <v>95</v>
      </c>
    </row>
    <row r="34" customFormat="false" ht="15" hidden="false" customHeight="false" outlineLevel="0" collapsed="false">
      <c r="B34" s="32" t="s">
        <v>96</v>
      </c>
    </row>
    <row r="35" customFormat="false" ht="15" hidden="false" customHeight="false" outlineLevel="0" collapsed="false">
      <c r="B35" s="32" t="s">
        <v>83</v>
      </c>
    </row>
    <row r="36" customFormat="false" ht="15" hidden="false" customHeight="false" outlineLevel="0" collapsed="false">
      <c r="B36" s="32" t="s">
        <v>97</v>
      </c>
    </row>
    <row r="37" customFormat="false" ht="15" hidden="false" customHeight="false" outlineLevel="0" collapsed="false">
      <c r="B37" s="32" t="s">
        <v>98</v>
      </c>
    </row>
    <row r="38" customFormat="false" ht="15" hidden="false" customHeight="false" outlineLevel="0" collapsed="false">
      <c r="B38" s="32" t="s">
        <v>99</v>
      </c>
    </row>
    <row r="39" customFormat="false" ht="15" hidden="false" customHeight="false" outlineLevel="0" collapsed="false">
      <c r="B39" s="32" t="s">
        <v>100</v>
      </c>
    </row>
    <row r="40" customFormat="false" ht="15" hidden="false" customHeight="false" outlineLevel="0" collapsed="false">
      <c r="B40" s="32" t="s">
        <v>101</v>
      </c>
    </row>
    <row r="41" customFormat="false" ht="15" hidden="false" customHeight="false" outlineLevel="0" collapsed="false">
      <c r="B41" s="32" t="s">
        <v>102</v>
      </c>
    </row>
    <row r="42" customFormat="false" ht="15" hidden="false" customHeight="false" outlineLevel="0" collapsed="false">
      <c r="B42" s="32" t="s">
        <v>103</v>
      </c>
    </row>
    <row r="43" customFormat="false" ht="15" hidden="false" customHeight="false" outlineLevel="0" collapsed="false">
      <c r="B43" s="32" t="s">
        <v>93</v>
      </c>
    </row>
    <row r="44" customFormat="false" ht="15" hidden="false" customHeight="false" outlineLevel="0" collapsed="false">
      <c r="B44" s="32" t="s">
        <v>83</v>
      </c>
    </row>
    <row r="45" customFormat="false" ht="15" hidden="false" customHeight="false" outlineLevel="0" collapsed="false">
      <c r="B45" s="32" t="s">
        <v>104</v>
      </c>
    </row>
    <row r="46" customFormat="false" ht="15" hidden="false" customHeight="false" outlineLevel="0" collapsed="false">
      <c r="B46" s="32" t="s">
        <v>105</v>
      </c>
    </row>
    <row r="47" customFormat="false" ht="15" hidden="false" customHeight="false" outlineLevel="0" collapsed="false">
      <c r="B47" s="32" t="s">
        <v>99</v>
      </c>
    </row>
    <row r="48" customFormat="false" ht="15" hidden="false" customHeight="false" outlineLevel="0" collapsed="false">
      <c r="B48" s="32" t="s">
        <v>100</v>
      </c>
    </row>
    <row r="49" customFormat="false" ht="15" hidden="false" customHeight="false" outlineLevel="0" collapsed="false">
      <c r="B49" s="32" t="s">
        <v>101</v>
      </c>
    </row>
    <row r="50" customFormat="false" ht="15" hidden="false" customHeight="false" outlineLevel="0" collapsed="false">
      <c r="B50" s="32" t="s">
        <v>106</v>
      </c>
    </row>
    <row r="51" customFormat="false" ht="15" hidden="false" customHeight="false" outlineLevel="0" collapsed="false">
      <c r="B51" s="32" t="s">
        <v>103</v>
      </c>
    </row>
    <row r="52" customFormat="false" ht="15" hidden="false" customHeight="false" outlineLevel="0" collapsed="false">
      <c r="B52" s="32" t="s">
        <v>93</v>
      </c>
    </row>
    <row r="53" customFormat="false" ht="15" hidden="false" customHeight="false" outlineLevel="0" collapsed="false">
      <c r="B53" s="32" t="s">
        <v>83</v>
      </c>
    </row>
    <row r="54" customFormat="false" ht="15" hidden="false" customHeight="false" outlineLevel="0" collapsed="false">
      <c r="B54" s="32" t="s">
        <v>107</v>
      </c>
    </row>
    <row r="55" customFormat="false" ht="15" hidden="false" customHeight="false" outlineLevel="0" collapsed="false">
      <c r="B55" s="32" t="s">
        <v>108</v>
      </c>
    </row>
    <row r="56" customFormat="false" ht="15" hidden="false" customHeight="false" outlineLevel="0" collapsed="false">
      <c r="B56" s="32" t="s">
        <v>109</v>
      </c>
    </row>
    <row r="57" customFormat="false" ht="15" hidden="false" customHeight="false" outlineLevel="0" collapsed="false">
      <c r="B57" s="32" t="s">
        <v>110</v>
      </c>
    </row>
    <row r="58" customFormat="false" ht="15" hidden="false" customHeight="false" outlineLevel="0" collapsed="false">
      <c r="B58" s="32" t="s">
        <v>111</v>
      </c>
    </row>
    <row r="59" customFormat="false" ht="15" hidden="false" customHeight="false" outlineLevel="0" collapsed="false">
      <c r="B59" s="32" t="s">
        <v>112</v>
      </c>
    </row>
    <row r="60" customFormat="false" ht="15" hidden="false" customHeight="false" outlineLevel="0" collapsed="false">
      <c r="B60" s="32" t="s">
        <v>113</v>
      </c>
    </row>
    <row r="61" customFormat="false" ht="15" hidden="false" customHeight="false" outlineLevel="0" collapsed="false">
      <c r="B61" s="32" t="s">
        <v>114</v>
      </c>
    </row>
    <row r="62" customFormat="false" ht="15" hidden="false" customHeight="false" outlineLevel="0" collapsed="false">
      <c r="B62" s="32" t="s">
        <v>115</v>
      </c>
    </row>
    <row r="63" customFormat="false" ht="15" hidden="false" customHeight="false" outlineLevel="0" collapsed="false">
      <c r="B63" s="32" t="s">
        <v>116</v>
      </c>
    </row>
    <row r="64" customFormat="false" ht="15" hidden="false" customHeight="false" outlineLevel="0" collapsed="false">
      <c r="B64" s="32" t="s">
        <v>117</v>
      </c>
    </row>
    <row r="65" customFormat="false" ht="15" hidden="false" customHeight="false" outlineLevel="0" collapsed="false">
      <c r="B65" s="32" t="s">
        <v>118</v>
      </c>
    </row>
    <row r="66" customFormat="false" ht="15" hidden="false" customHeight="false" outlineLevel="0" collapsed="false">
      <c r="B66" s="32" t="s">
        <v>119</v>
      </c>
    </row>
    <row r="67" customFormat="false" ht="15" hidden="false" customHeight="false" outlineLevel="0" collapsed="false">
      <c r="B67" s="32" t="s">
        <v>120</v>
      </c>
    </row>
    <row r="68" customFormat="false" ht="15" hidden="false" customHeight="false" outlineLevel="0" collapsed="false">
      <c r="B68" s="32" t="s">
        <v>121</v>
      </c>
    </row>
    <row r="69" customFormat="false" ht="15" hidden="false" customHeight="false" outlineLevel="0" collapsed="false">
      <c r="B69" s="32" t="s">
        <v>122</v>
      </c>
    </row>
    <row r="70" customFormat="false" ht="15" hidden="false" customHeight="false" outlineLevel="0" collapsed="false">
      <c r="B70" s="32" t="s">
        <v>123</v>
      </c>
    </row>
    <row r="71" customFormat="false" ht="15" hidden="false" customHeight="false" outlineLevel="0" collapsed="false">
      <c r="B71" s="32" t="s">
        <v>124</v>
      </c>
    </row>
    <row r="72" customFormat="false" ht="15" hidden="false" customHeight="false" outlineLevel="0" collapsed="false">
      <c r="B72" s="32" t="s">
        <v>120</v>
      </c>
    </row>
    <row r="73" customFormat="false" ht="15" hidden="false" customHeight="false" outlineLevel="0" collapsed="false">
      <c r="B73" s="32" t="s">
        <v>125</v>
      </c>
    </row>
    <row r="74" customFormat="false" ht="15" hidden="false" customHeight="false" outlineLevel="0" collapsed="false">
      <c r="B74" s="32" t="s">
        <v>83</v>
      </c>
    </row>
    <row r="75" customFormat="false" ht="15" hidden="false" customHeight="false" outlineLevel="0" collapsed="false">
      <c r="B75" s="32" t="s">
        <v>126</v>
      </c>
    </row>
    <row r="76" customFormat="false" ht="15" hidden="false" customHeight="false" outlineLevel="0" collapsed="false">
      <c r="B76" s="32" t="s">
        <v>127</v>
      </c>
    </row>
    <row r="77" customFormat="false" ht="15" hidden="false" customHeight="false" outlineLevel="0" collapsed="false">
      <c r="B77" s="32" t="s">
        <v>128</v>
      </c>
    </row>
    <row r="78" customFormat="false" ht="15" hidden="false" customHeight="false" outlineLevel="0" collapsed="false">
      <c r="B78" s="32" t="s">
        <v>129</v>
      </c>
    </row>
    <row r="79" customFormat="false" ht="15" hidden="false" customHeight="false" outlineLevel="0" collapsed="false">
      <c r="B79" s="32" t="s">
        <v>130</v>
      </c>
    </row>
    <row r="80" customFormat="false" ht="15" hidden="false" customHeight="false" outlineLevel="0" collapsed="false">
      <c r="B80" s="32" t="s">
        <v>93</v>
      </c>
    </row>
    <row r="81" customFormat="false" ht="15" hidden="false" customHeight="false" outlineLevel="0" collapsed="false">
      <c r="B81" s="32" t="s">
        <v>83</v>
      </c>
    </row>
    <row r="82" customFormat="false" ht="15" hidden="false" customHeight="false" outlineLevel="0" collapsed="false">
      <c r="B82" s="32" t="s">
        <v>131</v>
      </c>
    </row>
    <row r="83" customFormat="false" ht="15" hidden="false" customHeight="false" outlineLevel="0" collapsed="false">
      <c r="B83" s="32" t="s">
        <v>132</v>
      </c>
    </row>
    <row r="84" customFormat="false" ht="15" hidden="false" customHeight="false" outlineLevel="0" collapsed="false">
      <c r="B84" s="32" t="s">
        <v>83</v>
      </c>
    </row>
    <row r="85" customFormat="false" ht="15" hidden="false" customHeight="false" outlineLevel="0" collapsed="false">
      <c r="B85" s="32" t="s">
        <v>133</v>
      </c>
    </row>
    <row r="86" customFormat="false" ht="15" hidden="false" customHeight="false" outlineLevel="0" collapsed="false">
      <c r="B86" s="32" t="s">
        <v>134</v>
      </c>
    </row>
    <row r="87" customFormat="false" ht="15" hidden="false" customHeight="false" outlineLevel="0" collapsed="false">
      <c r="B87" s="32" t="s">
        <v>135</v>
      </c>
    </row>
    <row r="88" customFormat="false" ht="15" hidden="false" customHeight="false" outlineLevel="0" collapsed="false">
      <c r="B88" s="32" t="s">
        <v>136</v>
      </c>
    </row>
    <row r="89" customFormat="false" ht="15" hidden="false" customHeight="false" outlineLevel="0" collapsed="false">
      <c r="B89" s="32" t="s">
        <v>137</v>
      </c>
    </row>
    <row r="90" customFormat="false" ht="15" hidden="false" customHeight="false" outlineLevel="0" collapsed="false">
      <c r="B90" s="32" t="s">
        <v>138</v>
      </c>
    </row>
    <row r="91" customFormat="false" ht="15" hidden="false" customHeight="false" outlineLevel="0" collapsed="false">
      <c r="B91" s="32" t="s">
        <v>139</v>
      </c>
    </row>
    <row r="92" customFormat="false" ht="15" hidden="false" customHeight="false" outlineLevel="0" collapsed="false">
      <c r="B92" s="32"/>
    </row>
    <row r="93" customFormat="false" ht="15" hidden="false" customHeight="false" outlineLevel="0" collapsed="false">
      <c r="B93" s="32" t="s">
        <v>75</v>
      </c>
    </row>
    <row r="94" customFormat="false" ht="15" hidden="false" customHeight="false" outlineLevel="0" collapsed="false">
      <c r="B94" s="32" t="s">
        <v>140</v>
      </c>
    </row>
    <row r="95" customFormat="false" ht="15" hidden="false" customHeight="false" outlineLevel="0" collapsed="false">
      <c r="B95" s="32" t="s">
        <v>78</v>
      </c>
    </row>
    <row r="96" customFormat="false" ht="15" hidden="false" customHeight="false" outlineLevel="0" collapsed="false">
      <c r="B96" s="32" t="s">
        <v>141</v>
      </c>
    </row>
    <row r="97" customFormat="false" ht="15" hidden="false" customHeight="false" outlineLevel="0" collapsed="false">
      <c r="B97" s="32" t="s">
        <v>142</v>
      </c>
    </row>
    <row r="98" customFormat="false" ht="15" hidden="false" customHeight="false" outlineLevel="0" collapsed="false">
      <c r="B98" s="32" t="s">
        <v>143</v>
      </c>
    </row>
    <row r="99" customFormat="false" ht="15" hidden="false" customHeight="false" outlineLevel="0" collapsed="false">
      <c r="B99" s="32" t="s">
        <v>144</v>
      </c>
    </row>
    <row r="100" customFormat="false" ht="15" hidden="false" customHeight="false" outlineLevel="0" collapsed="false">
      <c r="B100" s="32" t="s">
        <v>145</v>
      </c>
    </row>
    <row r="101" customFormat="false" ht="15" hidden="false" customHeight="false" outlineLevel="0" collapsed="false">
      <c r="B101" s="32" t="s">
        <v>146</v>
      </c>
    </row>
    <row r="102" customFormat="false" ht="15" hidden="false" customHeight="false" outlineLevel="0" collapsed="false">
      <c r="B102" s="32" t="s">
        <v>147</v>
      </c>
    </row>
    <row r="103" customFormat="false" ht="15" hidden="false" customHeight="false" outlineLevel="0" collapsed="false">
      <c r="B103" s="32" t="s">
        <v>139</v>
      </c>
    </row>
    <row r="104" customFormat="false" ht="15" hidden="false" customHeight="false" outlineLevel="0" collapsed="false">
      <c r="B104" s="32"/>
    </row>
    <row r="105" customFormat="false" ht="15" hidden="false" customHeight="false" outlineLevel="0" collapsed="false">
      <c r="B105" s="32" t="s">
        <v>75</v>
      </c>
    </row>
    <row r="106" customFormat="false" ht="15" hidden="false" customHeight="false" outlineLevel="0" collapsed="false">
      <c r="B106" s="32" t="s">
        <v>148</v>
      </c>
    </row>
    <row r="107" customFormat="false" ht="15" hidden="false" customHeight="false" outlineLevel="0" collapsed="false">
      <c r="B107" s="32" t="s">
        <v>78</v>
      </c>
    </row>
    <row r="108" customFormat="false" ht="15" hidden="false" customHeight="false" outlineLevel="0" collapsed="false">
      <c r="B108" s="32" t="s">
        <v>149</v>
      </c>
    </row>
    <row r="109" customFormat="false" ht="15" hidden="false" customHeight="false" outlineLevel="0" collapsed="false">
      <c r="B109" s="32" t="s">
        <v>80</v>
      </c>
    </row>
    <row r="110" customFormat="false" ht="15" hidden="false" customHeight="false" outlineLevel="0" collapsed="false">
      <c r="B110" s="32" t="s">
        <v>82</v>
      </c>
    </row>
    <row r="111" customFormat="false" ht="15" hidden="false" customHeight="false" outlineLevel="0" collapsed="false">
      <c r="B111" s="32" t="s">
        <v>150</v>
      </c>
    </row>
    <row r="112" customFormat="false" ht="15" hidden="false" customHeight="false" outlineLevel="0" collapsed="false">
      <c r="B112" s="32" t="s">
        <v>151</v>
      </c>
    </row>
    <row r="113" customFormat="false" ht="15" hidden="false" customHeight="false" outlineLevel="0" collapsed="false">
      <c r="B113" s="32" t="s">
        <v>152</v>
      </c>
    </row>
    <row r="114" customFormat="false" ht="15" hidden="false" customHeight="false" outlineLevel="0" collapsed="false">
      <c r="B114" s="32" t="s">
        <v>93</v>
      </c>
    </row>
    <row r="115" customFormat="false" ht="15" hidden="false" customHeight="false" outlineLevel="0" collapsed="false">
      <c r="B115" s="32" t="s">
        <v>153</v>
      </c>
    </row>
    <row r="116" customFormat="false" ht="15" hidden="false" customHeight="false" outlineLevel="0" collapsed="false">
      <c r="B116" s="32" t="s">
        <v>139</v>
      </c>
    </row>
    <row r="117" customFormat="false" ht="15" hidden="false" customHeight="false" outlineLevel="0" collapsed="false">
      <c r="B117" s="32"/>
    </row>
    <row r="118" customFormat="false" ht="15" hidden="false" customHeight="false" outlineLevel="0" collapsed="false">
      <c r="B118" s="32" t="s">
        <v>75</v>
      </c>
    </row>
    <row r="119" customFormat="false" ht="15" hidden="false" customHeight="false" outlineLevel="0" collapsed="false">
      <c r="B119" s="32" t="s">
        <v>154</v>
      </c>
    </row>
    <row r="120" customFormat="false" ht="15" hidden="false" customHeight="false" outlineLevel="0" collapsed="false">
      <c r="B120" s="32" t="s">
        <v>78</v>
      </c>
    </row>
    <row r="121" customFormat="false" ht="15" hidden="false" customHeight="false" outlineLevel="0" collapsed="false">
      <c r="B121" s="32" t="s">
        <v>155</v>
      </c>
    </row>
    <row r="122" customFormat="false" ht="15" hidden="false" customHeight="false" outlineLevel="0" collapsed="false">
      <c r="B122" s="32" t="s">
        <v>134</v>
      </c>
    </row>
    <row r="123" customFormat="false" ht="15" hidden="false" customHeight="false" outlineLevel="0" collapsed="false">
      <c r="B123" s="32" t="s">
        <v>156</v>
      </c>
    </row>
    <row r="124" customFormat="false" ht="15" hidden="false" customHeight="false" outlineLevel="0" collapsed="false">
      <c r="B124" s="32" t="s">
        <v>157</v>
      </c>
    </row>
    <row r="125" customFormat="false" ht="15" hidden="false" customHeight="false" outlineLevel="0" collapsed="false">
      <c r="B125" s="32" t="s">
        <v>137</v>
      </c>
    </row>
    <row r="126" customFormat="false" ht="15" hidden="false" customHeight="false" outlineLevel="0" collapsed="false">
      <c r="B126" s="32" t="s">
        <v>138</v>
      </c>
    </row>
    <row r="127" customFormat="false" ht="15" hidden="false" customHeight="false" outlineLevel="0" collapsed="false">
      <c r="B127" s="3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15" hidden="false" customHeight="true" outlineLevel="0" collapsed="false">
      <c r="B2" s="3" t="s">
        <v>158</v>
      </c>
      <c r="C2" s="3"/>
    </row>
    <row r="4" customFormat="false" ht="15" hidden="false" customHeight="false" outlineLevel="0" collapsed="false">
      <c r="B4" s="33" t="s">
        <v>159</v>
      </c>
    </row>
    <row r="5" customFormat="false" ht="23.85" hidden="false" customHeight="false" outlineLevel="0" collapsed="false">
      <c r="B5" s="34" t="s">
        <v>160</v>
      </c>
      <c r="C5" s="35" t="s">
        <v>161</v>
      </c>
    </row>
    <row r="6" customFormat="false" ht="23.85" hidden="false" customHeight="false" outlineLevel="0" collapsed="false">
      <c r="B6" s="34" t="s">
        <v>162</v>
      </c>
      <c r="C6" s="35" t="s">
        <v>163</v>
      </c>
    </row>
    <row r="7" customFormat="false" ht="23.85" hidden="false" customHeight="false" outlineLevel="0" collapsed="false">
      <c r="B7" s="34" t="s">
        <v>52</v>
      </c>
      <c r="C7" s="35" t="s">
        <v>164</v>
      </c>
    </row>
    <row r="8" customFormat="false" ht="23.85" hidden="false" customHeight="false" outlineLevel="0" collapsed="false">
      <c r="B8" s="34" t="s">
        <v>165</v>
      </c>
      <c r="C8" s="35" t="s">
        <v>166</v>
      </c>
    </row>
    <row r="9" customFormat="false" ht="15" hidden="false" customHeight="false" outlineLevel="0" collapsed="false">
      <c r="B9" s="34" t="s">
        <v>167</v>
      </c>
      <c r="C9" s="35" t="s">
        <v>168</v>
      </c>
    </row>
    <row r="11" customFormat="false" ht="15" hidden="false" customHeight="true" outlineLevel="0" collapsed="false">
      <c r="B11" s="36" t="s">
        <v>169</v>
      </c>
      <c r="C11" s="36"/>
    </row>
  </sheetData>
  <mergeCells count="2">
    <mergeCell ref="B2:C2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2025-12-18T03:17:13Z</dcterms:created>
  <dc:creator>openpyxl</dc:creator>
  <dc:description/>
  <dc:language>en-US</dc:language>
  <cp:lastModifiedBy/>
  <dcterms:modified xsi:type="dcterms:W3CDTF">2025-12-18T03:17:13Z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