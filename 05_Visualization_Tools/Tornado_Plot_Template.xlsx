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ensitivity Input" sheetId="1" state="visible" r:id="rId3"/>
    <sheet name="2. Tornado Data" sheetId="2" state="visible" r:id="rId4"/>
    <sheet name="3. One-Way Analysis" sheetId="3" state="visible" r:id="rId5"/>
    <sheet name="4. Two-Way Analysis" sheetId="4" state="visible" r:id="rId6"/>
    <sheet name="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<sst xmlns="http://schemas.openxmlformats.org/spreadsheetml/2006/main" count="103" uniqueCount="88">
  <si>
    <t xml:space="preserve">TORNADO PLOT - SENSITIVITY ANALYSIS</t>
  </si>
  <si>
    <t xml:space="preserve">Enter parameter ranges to analyze how each variable impacts the overall result. Sort by |Impact| for tornado diagram.</t>
  </si>
  <si>
    <t xml:space="preserve">BASELINE SETTINGS</t>
  </si>
  <si>
    <t xml:space="preserve">Baseline Result:</t>
  </si>
  <si>
    <t xml:space="preserve">← Base case B-R score</t>
  </si>
  <si>
    <t xml:space="preserve">Decision Threshold:</t>
  </si>
  <si>
    <t xml:space="preserve">← Value where decision changes</t>
  </si>
  <si>
    <t xml:space="preserve">PARAMETER SENSITIVITY RANGES</t>
  </si>
  <si>
    <t xml:space="preserve">Parameter</t>
  </si>
  <si>
    <t xml:space="preserve">Base
Value</t>
  </si>
  <si>
    <t xml:space="preserve">Low
Value</t>
  </si>
  <si>
    <t xml:space="preserve">High
Value</t>
  </si>
  <si>
    <t xml:space="preserve">Result at
Low</t>
  </si>
  <si>
    <t xml:space="preserve">Result at
High</t>
  </si>
  <si>
    <t xml:space="preserve">Impact
(Swing)</t>
  </si>
  <si>
    <t xml:space="preserve">Benefits Weight (%)</t>
  </si>
  <si>
    <t xml:space="preserve">Overall Response Rate (%)</t>
  </si>
  <si>
    <t xml:space="preserve">PFS (months)</t>
  </si>
  <si>
    <t xml:space="preserve">Grade 3+ Neutropenia (%)</t>
  </si>
  <si>
    <t xml:space="preserve">Treatment Discontinuation (%)</t>
  </si>
  <si>
    <t xml:space="preserve">Quality of Life Score</t>
  </si>
  <si>
    <t xml:space="preserve">Serious Infection Rate (%)</t>
  </si>
  <si>
    <t xml:space="preserve">Complete Response (%)</t>
  </si>
  <si>
    <t xml:space="preserve">TORNADO DIAGRAM DATA</t>
  </si>
  <si>
    <t xml:space="preserve">Data formatted for tornado chart. Sorted by |Impact| descending. Use Low/High Deviation columns for bar chart.</t>
  </si>
  <si>
    <t xml:space="preserve">Baseline:</t>
  </si>
  <si>
    <t xml:space="preserve">Rank</t>
  </si>
  <si>
    <t xml:space="preserve">Low
Deviation</t>
  </si>
  <si>
    <t xml:space="preserve">High
Deviation</t>
  </si>
  <si>
    <t xml:space="preserve">Bar Left
(neg)</t>
  </si>
  <si>
    <t xml:space="preserve">Bar Right
(pos)</t>
  </si>
  <si>
    <t xml:space="preserve">Impact</t>
  </si>
  <si>
    <t xml:space="preserve">◎ TO CREATE TORNADO DIAGRAM:</t>
  </si>
  <si>
    <t xml:space="preserve">1. Copy data to a new area, sort by Impact column (H) descending</t>
  </si>
  <si>
    <t xml:space="preserve">2. Select Parameter (C) and Bar Left (F) columns → Insert → Bar Chart → Stacked Bar</t>
  </si>
  <si>
    <t xml:space="preserve">3. Add Bar Right (G) as second data series</t>
  </si>
  <si>
    <t xml:space="preserve">4. Format: Bar Left in teal (#0D9488), Bar Right in gold (#D97706)</t>
  </si>
  <si>
    <t xml:space="preserve">5. Add vertical line at 0 (baseline) for reference</t>
  </si>
  <si>
    <t xml:space="preserve">6. Reverse category order so largest impact appears at top</t>
  </si>
  <si>
    <t xml:space="preserve">ONE-WAY SENSITIVITY ANALYSIS</t>
  </si>
  <si>
    <t xml:space="preserve">Examine how results change as a single parameter varies across its range. Identify threshold values.</t>
  </si>
  <si>
    <t xml:space="preserve">Selected Parameter:</t>
  </si>
  <si>
    <t xml:space="preserve">PARAMETER VALUE SWEEP</t>
  </si>
  <si>
    <t xml:space="preserve">Parameter Value →</t>
  </si>
  <si>
    <t xml:space="preserve">Result</t>
  </si>
  <si>
    <t xml:space="preserve">Decision</t>
  </si>
  <si>
    <t xml:space="preserve">Comp</t>
  </si>
  <si>
    <t xml:space="preserve">Tie</t>
  </si>
  <si>
    <t xml:space="preserve">Prod</t>
  </si>
  <si>
    <t xml:space="preserve">THRESHOLD ANALYSIS</t>
  </si>
  <si>
    <t xml:space="preserve">← Parameter value where decision flips</t>
  </si>
  <si>
    <t xml:space="preserve">Interpretation:</t>
  </si>
  <si>
    <t xml:space="preserve">Decision favors Product when Benefits Weight &gt; 50%</t>
  </si>
  <si>
    <t xml:space="preserve">TWO-WAY SENSITIVITY ANALYSIS</t>
  </si>
  <si>
    <t xml:space="preserve">Examine how results change when two parameters vary simultaneously. Identify interaction effects.</t>
  </si>
  <si>
    <t xml:space="preserve">Parameter 1 (Rows):</t>
  </si>
  <si>
    <t xml:space="preserve">Parameter 2 (Cols):</t>
  </si>
  <si>
    <t xml:space="preserve">RESULT MATRIX</t>
  </si>
  <si>
    <t xml:space="preserve">ORR →</t>
  </si>
  <si>
    <t xml:space="preserve">30%</t>
  </si>
  <si>
    <t xml:space="preserve">35%</t>
  </si>
  <si>
    <t xml:space="preserve">40%</t>
  </si>
  <si>
    <t xml:space="preserve">45%</t>
  </si>
  <si>
    <t xml:space="preserve">50%</t>
  </si>
  <si>
    <t xml:space="preserve">55%</t>
  </si>
  <si>
    <t xml:space="preserve">60%</t>
  </si>
  <si>
    <t xml:space="preserve">70%</t>
  </si>
  <si>
    <t xml:space="preserve">◎ INTERPRETATION: The color gradient reveals how the two parameters interact. Diagonal patterns indicate additive effects; non-linear patterns suggest interaction. Identify the combinations where the decision changes.</t>
  </si>
  <si>
    <t xml:space="preserve">SENSITIVITY ANALYSIS REFERENCE</t>
  </si>
  <si>
    <t xml:space="preserve">ANALYSIS TYPES</t>
  </si>
  <si>
    <t xml:space="preserve">Tornado Diagram</t>
  </si>
  <si>
    <t xml:space="preserve">Shows relative impact of each parameter on the result. Widest bars = most influential parameters.</t>
  </si>
  <si>
    <t xml:space="preserve">One-Way Analysis</t>
  </si>
  <si>
    <t xml:space="preserve">Varies single parameter while holding others at baseline. Identifies threshold values.</t>
  </si>
  <si>
    <t xml:space="preserve">Two-Way Analysis</t>
  </si>
  <si>
    <t xml:space="preserve">Varies two parameters simultaneously. Reveals interaction effects and combined thresholds.</t>
  </si>
  <si>
    <t xml:space="preserve">Probabilistic (PSA)</t>
  </si>
  <si>
    <t xml:space="preserve">Monte Carlo simulation with distributions. Beyond scope of this template—use specialized software.</t>
  </si>
  <si>
    <t xml:space="preserve">INTERPRETATION GUIDE</t>
  </si>
  <si>
    <t xml:space="preserve">Robust Decision</t>
  </si>
  <si>
    <t xml:space="preserve">Decision unchanged across plausible ranges of all parameters. High confidence.</t>
  </si>
  <si>
    <t xml:space="preserve">Sensitive Decision</t>
  </si>
  <si>
    <t xml:space="preserve">Decision changes within plausible parameter ranges. Document threshold values.</t>
  </si>
  <si>
    <t xml:space="preserve">Threshold Value</t>
  </si>
  <si>
    <t xml:space="preserve">Parameter value where decision flips. Critical for understanding decision robustness.</t>
  </si>
  <si>
    <t xml:space="preserve">Dominant Parameter</t>
  </si>
  <si>
    <t xml:space="preserve">Parameter with largest impact on tornado. Prioritize data quality for this input.</t>
  </si>
  <si>
    <t xml:space="preserve">Template © 2025 NexVigilant LLC | www.nexvigilant.com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</si>
</sst>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+0.0;\-0.0;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65D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D94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365D"/>
      <name val="Arial"/>
      <family val="0"/>
      <charset val="1"/>
    </font>
    <font>
      <b val="true"/>
      <sz val="11"/>
      <color rgb="FF1A365D"/>
      <name val="Arial"/>
      <family val="0"/>
      <charset val="1"/>
    </font>
    <font>
      <sz val="8"/>
      <color rgb="FF64748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1F5F9"/>
        <bgColor rgb="FFEDE9FE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0F2FE"/>
      </patternFill>
    </fill>
    <fill>
      <patternFill patternType="solid">
        <fgColor rgb="FFE0F2F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1F5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3"/>
  </cols>
  <sheetData>
    <row r="2" customFormat="false" ht="22.0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6.8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4" t="s">
        <v>3</v>
      </c>
      <c r="C6" s="5" t="n">
        <v>50</v>
      </c>
      <c r="D6" s="6" t="s">
        <v>4</v>
      </c>
    </row>
    <row r="7" customFormat="false" ht="15" hidden="false" customHeight="false" outlineLevel="0" collapsed="false">
      <c r="B7" s="4" t="s">
        <v>5</v>
      </c>
      <c r="C7" s="5" t="n">
        <v>0</v>
      </c>
      <c r="D7" s="6" t="s">
        <v>6</v>
      </c>
    </row>
    <row r="9" customFormat="false" ht="15" hidden="false" customHeight="true" outlineLevel="0" collapsed="false">
      <c r="B9" s="7" t="s">
        <v>7</v>
      </c>
      <c r="C9" s="7"/>
      <c r="D9" s="7"/>
      <c r="E9" s="7"/>
      <c r="F9" s="7"/>
      <c r="G9" s="7"/>
      <c r="H9" s="7"/>
    </row>
    <row r="10" customFormat="false" ht="34.5" hidden="false" customHeight="true" outlineLevel="0" collapsed="false"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</row>
    <row r="11" customFormat="false" ht="15" hidden="false" customHeight="false" outlineLevel="0" collapsed="false">
      <c r="B11" s="9" t="s">
        <v>15</v>
      </c>
      <c r="C11" s="5" t="n">
        <v>50</v>
      </c>
      <c r="D11" s="5" t="n">
        <v>30</v>
      </c>
      <c r="E11" s="5" t="n">
        <v>70</v>
      </c>
      <c r="F11" s="5" t="n">
        <v>42</v>
      </c>
      <c r="G11" s="5" t="n">
        <v>58</v>
      </c>
      <c r="H11" s="10" t="n">
        <f aca="false">ABS(G11-F11)</f>
        <v>16</v>
      </c>
    </row>
    <row r="12" customFormat="false" ht="15" hidden="false" customHeight="false" outlineLevel="0" collapsed="false">
      <c r="B12" s="9" t="s">
        <v>16</v>
      </c>
      <c r="C12" s="5" t="n">
        <v>45</v>
      </c>
      <c r="D12" s="5" t="n">
        <v>35</v>
      </c>
      <c r="E12" s="5" t="n">
        <v>55</v>
      </c>
      <c r="F12" s="5" t="n">
        <v>44</v>
      </c>
      <c r="G12" s="5" t="n">
        <v>56</v>
      </c>
      <c r="H12" s="10" t="n">
        <f aca="false">ABS(G12-F12)</f>
        <v>12</v>
      </c>
    </row>
    <row r="13" customFormat="false" ht="15" hidden="false" customHeight="false" outlineLevel="0" collapsed="false">
      <c r="B13" s="9" t="s">
        <v>17</v>
      </c>
      <c r="C13" s="5" t="n">
        <v>12.5</v>
      </c>
      <c r="D13" s="5" t="n">
        <v>8</v>
      </c>
      <c r="E13" s="5" t="n">
        <v>16</v>
      </c>
      <c r="F13" s="5" t="n">
        <v>43</v>
      </c>
      <c r="G13" s="5" t="n">
        <v>57</v>
      </c>
      <c r="H13" s="10" t="n">
        <f aca="false">ABS(G13-F13)</f>
        <v>14</v>
      </c>
    </row>
    <row r="14" customFormat="false" ht="15" hidden="false" customHeight="false" outlineLevel="0" collapsed="false">
      <c r="B14" s="9" t="s">
        <v>18</v>
      </c>
      <c r="C14" s="5" t="n">
        <v>25</v>
      </c>
      <c r="D14" s="5" t="n">
        <v>15</v>
      </c>
      <c r="E14" s="5" t="n">
        <v>35</v>
      </c>
      <c r="F14" s="5" t="n">
        <v>54</v>
      </c>
      <c r="G14" s="5" t="n">
        <v>46</v>
      </c>
      <c r="H14" s="10" t="n">
        <f aca="false">ABS(G14-F14)</f>
        <v>8</v>
      </c>
    </row>
    <row r="15" customFormat="false" ht="15" hidden="false" customHeight="false" outlineLevel="0" collapsed="false">
      <c r="B15" s="9" t="s">
        <v>19</v>
      </c>
      <c r="C15" s="5" t="n">
        <v>12</v>
      </c>
      <c r="D15" s="5" t="n">
        <v>6</v>
      </c>
      <c r="E15" s="5" t="n">
        <v>18</v>
      </c>
      <c r="F15" s="5" t="n">
        <v>53</v>
      </c>
      <c r="G15" s="5" t="n">
        <v>47</v>
      </c>
      <c r="H15" s="10" t="n">
        <f aca="false">ABS(G15-F15)</f>
        <v>6</v>
      </c>
    </row>
    <row r="16" customFormat="false" ht="15" hidden="false" customHeight="false" outlineLevel="0" collapsed="false">
      <c r="B16" s="9" t="s">
        <v>20</v>
      </c>
      <c r="C16" s="5" t="n">
        <v>68</v>
      </c>
      <c r="D16" s="5" t="n">
        <v>50</v>
      </c>
      <c r="E16" s="5" t="n">
        <v>80</v>
      </c>
      <c r="F16" s="5" t="n">
        <v>46</v>
      </c>
      <c r="G16" s="5" t="n">
        <v>54</v>
      </c>
      <c r="H16" s="10" t="n">
        <f aca="false">ABS(G16-F16)</f>
        <v>8</v>
      </c>
    </row>
    <row r="17" customFormat="false" ht="15" hidden="false" customHeight="false" outlineLevel="0" collapsed="false">
      <c r="B17" s="9" t="s">
        <v>21</v>
      </c>
      <c r="C17" s="5" t="n">
        <v>7</v>
      </c>
      <c r="D17" s="5" t="n">
        <v>3</v>
      </c>
      <c r="E17" s="5" t="n">
        <v>12</v>
      </c>
      <c r="F17" s="5" t="n">
        <v>52</v>
      </c>
      <c r="G17" s="5" t="n">
        <v>47</v>
      </c>
      <c r="H17" s="10" t="n">
        <f aca="false">ABS(G17-F17)</f>
        <v>5</v>
      </c>
    </row>
    <row r="18" customFormat="false" ht="15" hidden="false" customHeight="false" outlineLevel="0" collapsed="false">
      <c r="B18" s="9" t="s">
        <v>22</v>
      </c>
      <c r="C18" s="5" t="n">
        <v>18</v>
      </c>
      <c r="D18" s="5" t="n">
        <v>10</v>
      </c>
      <c r="E18" s="5" t="n">
        <v>28</v>
      </c>
      <c r="F18" s="5" t="n">
        <v>47</v>
      </c>
      <c r="G18" s="5" t="n">
        <v>53</v>
      </c>
      <c r="H18" s="10" t="n">
        <f aca="false">ABS(G18-F18)</f>
        <v>6</v>
      </c>
    </row>
    <row r="19" customFormat="false" ht="15" hidden="false" customHeight="false" outlineLevel="0" collapsed="false">
      <c r="B19" s="11"/>
      <c r="C19" s="12"/>
      <c r="D19" s="12"/>
      <c r="E19" s="12"/>
      <c r="F19" s="12"/>
      <c r="G19" s="12"/>
      <c r="H19" s="10" t="str">
        <f aca="false">IF(AND(F19&lt;&gt;"",G19&lt;&gt;""),ABS(G19-F19),"")</f>
        <v/>
      </c>
    </row>
    <row r="20" customFormat="false" ht="15" hidden="false" customHeight="false" outlineLevel="0" collapsed="false">
      <c r="B20" s="11"/>
      <c r="C20" s="12"/>
      <c r="D20" s="12"/>
      <c r="E20" s="12"/>
      <c r="F20" s="12"/>
      <c r="G20" s="12"/>
      <c r="H20" s="10" t="str">
        <f aca="false">IF(AND(F20&lt;&gt;"",G20&lt;&gt;""),ABS(G20-F20),"")</f>
        <v/>
      </c>
    </row>
    <row r="21" customFormat="false" ht="15" hidden="false" customHeight="false" outlineLevel="0" collapsed="false">
      <c r="B21" s="11"/>
      <c r="C21" s="12"/>
      <c r="D21" s="12"/>
      <c r="E21" s="12"/>
      <c r="F21" s="12"/>
      <c r="G21" s="12"/>
      <c r="H21" s="10" t="str">
        <f aca="false">IF(AND(F21&lt;&gt;"",G21&lt;&gt;""),ABS(G21-F21),"")</f>
        <v/>
      </c>
    </row>
    <row r="22" customFormat="false" ht="15" hidden="false" customHeight="false" outlineLevel="0" collapsed="false">
      <c r="B22" s="11"/>
      <c r="C22" s="12"/>
      <c r="D22" s="12"/>
      <c r="E22" s="12"/>
      <c r="F22" s="12"/>
      <c r="G22" s="12"/>
      <c r="H22" s="10" t="str">
        <f aca="false">IF(AND(F22&lt;&gt;"",G22&lt;&gt;""),ABS(G22-F22),"")</f>
        <v/>
      </c>
    </row>
  </sheetData>
  <mergeCells count="4">
    <mergeCell ref="B2:H2"/>
    <mergeCell ref="B3:H3"/>
    <mergeCell ref="B5:D5"/>
    <mergeCell ref="B9:H9"/>
  </mergeCells>
  <conditionalFormatting sqref="H11:H22">
    <cfRule type="dataBar" priority="2">
      <dataBar showValue="1" minLength="10" maxLength="90">
        <cfvo type="num" val="0"/>
        <cfvo type="num" val="20"/>
        <color rgb="FF7C3AED"/>
      </dataBar>
      <extLst>
        <ext xmlns:x14="http://schemas.microsoft.com/office/spreadsheetml/2009/9/main" uri="{B025F937-C7B1-47D3-B67F-A62EFF666E3E}">
          <x14:id>{10894E8A-35CD-40D4-9C88-EA5FA2D1D0FC}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894E8A-35CD-40D4-9C88-EA5FA2D1D0FC}">
            <x14:dataBar minLength="10" maxLength="90" axisPosition="none" gradient="true">
              <x14:cfvo type="num">
                <xm:f>0</xm:f>
              </x14:cfvo>
              <x14:cfvo type="num">
                <xm:f>20</xm:f>
              </x14:cfvo>
              <x14:negativeFillColor rgb="FF7C3AED"/>
              <x14:axisColor rgb="FF000000"/>
            </x14:dataBar>
          </x14:cfRule>
          <xm:sqref>H11:H22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5"/>
    <col collapsed="false" customWidth="true" hidden="false" outlineLevel="0" max="8" min="4" style="0" width="14"/>
    <col collapsed="false" customWidth="true" hidden="false" outlineLevel="0" max="9" min="9" style="0" width="3"/>
  </cols>
  <sheetData>
    <row r="2" customFormat="false" ht="22.05" hidden="false" customHeight="true" outlineLevel="0" collapsed="false">
      <c r="B2" s="1" t="s">
        <v>23</v>
      </c>
      <c r="C2" s="1"/>
      <c r="D2" s="1"/>
      <c r="E2" s="1"/>
      <c r="F2" s="1"/>
      <c r="G2" s="1"/>
      <c r="H2" s="1"/>
    </row>
    <row r="3" customFormat="false" ht="26.85" hidden="false" customHeight="true" outlineLevel="0" collapsed="false">
      <c r="B3" s="2" t="s">
        <v>24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25</v>
      </c>
      <c r="C5" s="13" t="n">
        <f aca="false">'1. Sensitivity Input'!C6</f>
        <v>50</v>
      </c>
    </row>
    <row r="7" customFormat="false" ht="34.5" hidden="false" customHeight="true" outlineLevel="0" collapsed="false">
      <c r="B7" s="8" t="s">
        <v>26</v>
      </c>
      <c r="C7" s="8" t="s">
        <v>8</v>
      </c>
      <c r="D7" s="8" t="s">
        <v>27</v>
      </c>
      <c r="E7" s="8" t="s">
        <v>28</v>
      </c>
      <c r="F7" s="8" t="s">
        <v>29</v>
      </c>
      <c r="G7" s="8" t="s">
        <v>30</v>
      </c>
      <c r="H7" s="8" t="s">
        <v>31</v>
      </c>
    </row>
    <row r="8" customFormat="false" ht="15" hidden="false" customHeight="false" outlineLevel="0" collapsed="false">
      <c r="B8" s="14" t="n">
        <v>1</v>
      </c>
      <c r="C8" s="15" t="str">
        <f aca="false">IF('1. Sensitivity Input'!B11&lt;&gt;"",'1. Sensitivity Input'!B11,"")</f>
        <v>Benefits Weight (%)</v>
      </c>
      <c r="D8" s="16" t="n">
        <f aca="false">IF('1. Sensitivity Input'!F11&lt;&gt;"",'1. Sensitivity Input'!F11-$C$5,"")</f>
        <v>-8</v>
      </c>
      <c r="E8" s="16" t="n">
        <f aca="false">IF('1. Sensitivity Input'!G11&lt;&gt;"",'1. Sensitivity Input'!G11-$C$5,"")</f>
        <v>8</v>
      </c>
      <c r="F8" s="16" t="n">
        <f aca="false">IF(D8&lt;&gt;"",MIN(D8,E8),"")</f>
        <v>-8</v>
      </c>
      <c r="G8" s="16" t="n">
        <f aca="false">IF(E8&lt;&gt;"",MAX(D8,E8),"")</f>
        <v>8</v>
      </c>
      <c r="H8" s="10" t="n">
        <f aca="false">IF(D8&lt;&gt;"",ABS(G8-F8),"")</f>
        <v>16</v>
      </c>
    </row>
    <row r="9" customFormat="false" ht="15" hidden="false" customHeight="false" outlineLevel="0" collapsed="false">
      <c r="B9" s="14" t="n">
        <v>2</v>
      </c>
      <c r="C9" s="15" t="str">
        <f aca="false">IF('1. Sensitivity Input'!B12&lt;&gt;"",'1. Sensitivity Input'!B12,"")</f>
        <v>Overall Response Rate (%)</v>
      </c>
      <c r="D9" s="16" t="n">
        <f aca="false">IF('1. Sensitivity Input'!F12&lt;&gt;"",'1. Sensitivity Input'!F12-$C$5,"")</f>
        <v>-6</v>
      </c>
      <c r="E9" s="16" t="n">
        <f aca="false">IF('1. Sensitivity Input'!G12&lt;&gt;"",'1. Sensitivity Input'!G12-$C$5,"")</f>
        <v>6</v>
      </c>
      <c r="F9" s="16" t="n">
        <f aca="false">IF(D9&lt;&gt;"",MIN(D9,E9),"")</f>
        <v>-6</v>
      </c>
      <c r="G9" s="16" t="n">
        <f aca="false">IF(E9&lt;&gt;"",MAX(D9,E9),"")</f>
        <v>6</v>
      </c>
      <c r="H9" s="10" t="n">
        <f aca="false">IF(D9&lt;&gt;"",ABS(G9-F9),"")</f>
        <v>12</v>
      </c>
    </row>
    <row r="10" customFormat="false" ht="15" hidden="false" customHeight="false" outlineLevel="0" collapsed="false">
      <c r="B10" s="14" t="n">
        <v>3</v>
      </c>
      <c r="C10" s="15" t="str">
        <f aca="false">IF('1. Sensitivity Input'!B13&lt;&gt;"",'1. Sensitivity Input'!B13,"")</f>
        <v>PFS (months)</v>
      </c>
      <c r="D10" s="16" t="n">
        <f aca="false">IF('1. Sensitivity Input'!F13&lt;&gt;"",'1. Sensitivity Input'!F13-$C$5,"")</f>
        <v>-7</v>
      </c>
      <c r="E10" s="16" t="n">
        <f aca="false">IF('1. Sensitivity Input'!G13&lt;&gt;"",'1. Sensitivity Input'!G13-$C$5,"")</f>
        <v>7</v>
      </c>
      <c r="F10" s="16" t="n">
        <f aca="false">IF(D10&lt;&gt;"",MIN(D10,E10),"")</f>
        <v>-7</v>
      </c>
      <c r="G10" s="16" t="n">
        <f aca="false">IF(E10&lt;&gt;"",MAX(D10,E10),"")</f>
        <v>7</v>
      </c>
      <c r="H10" s="10" t="n">
        <f aca="false">IF(D10&lt;&gt;"",ABS(G10-F10),"")</f>
        <v>14</v>
      </c>
    </row>
    <row r="11" customFormat="false" ht="15" hidden="false" customHeight="false" outlineLevel="0" collapsed="false">
      <c r="B11" s="14" t="n">
        <v>4</v>
      </c>
      <c r="C11" s="15" t="str">
        <f aca="false">IF('1. Sensitivity Input'!B14&lt;&gt;"",'1. Sensitivity Input'!B14,"")</f>
        <v>Grade 3+ Neutropenia (%)</v>
      </c>
      <c r="D11" s="16" t="n">
        <f aca="false">IF('1. Sensitivity Input'!F14&lt;&gt;"",'1. Sensitivity Input'!F14-$C$5,"")</f>
        <v>4</v>
      </c>
      <c r="E11" s="16" t="n">
        <f aca="false">IF('1. Sensitivity Input'!G14&lt;&gt;"",'1. Sensitivity Input'!G14-$C$5,"")</f>
        <v>-4</v>
      </c>
      <c r="F11" s="16" t="n">
        <f aca="false">IF(D11&lt;&gt;"",MIN(D11,E11),"")</f>
        <v>-4</v>
      </c>
      <c r="G11" s="16" t="n">
        <f aca="false">IF(E11&lt;&gt;"",MAX(D11,E11),"")</f>
        <v>4</v>
      </c>
      <c r="H11" s="10" t="n">
        <f aca="false">IF(D11&lt;&gt;"",ABS(G11-F11),"")</f>
        <v>8</v>
      </c>
    </row>
    <row r="12" customFormat="false" ht="15" hidden="false" customHeight="false" outlineLevel="0" collapsed="false">
      <c r="B12" s="14" t="n">
        <v>5</v>
      </c>
      <c r="C12" s="15" t="str">
        <f aca="false">IF('1. Sensitivity Input'!B15&lt;&gt;"",'1. Sensitivity Input'!B15,"")</f>
        <v>Treatment Discontinuation (%)</v>
      </c>
      <c r="D12" s="16" t="n">
        <f aca="false">IF('1. Sensitivity Input'!F15&lt;&gt;"",'1. Sensitivity Input'!F15-$C$5,"")</f>
        <v>3</v>
      </c>
      <c r="E12" s="16" t="n">
        <f aca="false">IF('1. Sensitivity Input'!G15&lt;&gt;"",'1. Sensitivity Input'!G15-$C$5,"")</f>
        <v>-3</v>
      </c>
      <c r="F12" s="16" t="n">
        <f aca="false">IF(D12&lt;&gt;"",MIN(D12,E12),"")</f>
        <v>-3</v>
      </c>
      <c r="G12" s="16" t="n">
        <f aca="false">IF(E12&lt;&gt;"",MAX(D12,E12),"")</f>
        <v>3</v>
      </c>
      <c r="H12" s="10" t="n">
        <f aca="false">IF(D12&lt;&gt;"",ABS(G12-F12),"")</f>
        <v>6</v>
      </c>
    </row>
    <row r="13" customFormat="false" ht="15" hidden="false" customHeight="false" outlineLevel="0" collapsed="false">
      <c r="B13" s="14" t="n">
        <v>6</v>
      </c>
      <c r="C13" s="15" t="str">
        <f aca="false">IF('1. Sensitivity Input'!B16&lt;&gt;"",'1. Sensitivity Input'!B16,"")</f>
        <v>Quality of Life Score</v>
      </c>
      <c r="D13" s="16" t="n">
        <f aca="false">IF('1. Sensitivity Input'!F16&lt;&gt;"",'1. Sensitivity Input'!F16-$C$5,"")</f>
        <v>-4</v>
      </c>
      <c r="E13" s="16" t="n">
        <f aca="false">IF('1. Sensitivity Input'!G16&lt;&gt;"",'1. Sensitivity Input'!G16-$C$5,"")</f>
        <v>4</v>
      </c>
      <c r="F13" s="16" t="n">
        <f aca="false">IF(D13&lt;&gt;"",MIN(D13,E13),"")</f>
        <v>-4</v>
      </c>
      <c r="G13" s="16" t="n">
        <f aca="false">IF(E13&lt;&gt;"",MAX(D13,E13),"")</f>
        <v>4</v>
      </c>
      <c r="H13" s="10" t="n">
        <f aca="false">IF(D13&lt;&gt;"",ABS(G13-F13),"")</f>
        <v>8</v>
      </c>
    </row>
    <row r="14" customFormat="false" ht="15" hidden="false" customHeight="false" outlineLevel="0" collapsed="false">
      <c r="B14" s="14" t="n">
        <v>7</v>
      </c>
      <c r="C14" s="15" t="str">
        <f aca="false">IF('1. Sensitivity Input'!B17&lt;&gt;"",'1. Sensitivity Input'!B17,"")</f>
        <v>Serious Infection Rate (%)</v>
      </c>
      <c r="D14" s="16" t="n">
        <f aca="false">IF('1. Sensitivity Input'!F17&lt;&gt;"",'1. Sensitivity Input'!F17-$C$5,"")</f>
        <v>2</v>
      </c>
      <c r="E14" s="16" t="n">
        <f aca="false">IF('1. Sensitivity Input'!G17&lt;&gt;"",'1. Sensitivity Input'!G17-$C$5,"")</f>
        <v>-3</v>
      </c>
      <c r="F14" s="16" t="n">
        <f aca="false">IF(D14&lt;&gt;"",MIN(D14,E14),"")</f>
        <v>-3</v>
      </c>
      <c r="G14" s="16" t="n">
        <f aca="false">IF(E14&lt;&gt;"",MAX(D14,E14),"")</f>
        <v>2</v>
      </c>
      <c r="H14" s="10" t="n">
        <f aca="false">IF(D14&lt;&gt;"",ABS(G14-F14),"")</f>
        <v>5</v>
      </c>
    </row>
    <row r="15" customFormat="false" ht="15" hidden="false" customHeight="false" outlineLevel="0" collapsed="false">
      <c r="B15" s="14" t="n">
        <v>8</v>
      </c>
      <c r="C15" s="15" t="str">
        <f aca="false">IF('1. Sensitivity Input'!B18&lt;&gt;"",'1. Sensitivity Input'!B18,"")</f>
        <v>Complete Response (%)</v>
      </c>
      <c r="D15" s="16" t="n">
        <f aca="false">IF('1. Sensitivity Input'!F18&lt;&gt;"",'1. Sensitivity Input'!F18-$C$5,"")</f>
        <v>-3</v>
      </c>
      <c r="E15" s="16" t="n">
        <f aca="false">IF('1. Sensitivity Input'!G18&lt;&gt;"",'1. Sensitivity Input'!G18-$C$5,"")</f>
        <v>3</v>
      </c>
      <c r="F15" s="16" t="n">
        <f aca="false">IF(D15&lt;&gt;"",MIN(D15,E15),"")</f>
        <v>-3</v>
      </c>
      <c r="G15" s="16" t="n">
        <f aca="false">IF(E15&lt;&gt;"",MAX(D15,E15),"")</f>
        <v>3</v>
      </c>
      <c r="H15" s="10" t="n">
        <f aca="false">IF(D15&lt;&gt;"",ABS(G15-F15),"")</f>
        <v>6</v>
      </c>
    </row>
    <row r="16" customFormat="false" ht="15" hidden="false" customHeight="false" outlineLevel="0" collapsed="false">
      <c r="B16" s="14" t="n">
        <v>9</v>
      </c>
      <c r="C16" s="15" t="str">
        <f aca="false">IF('1. Sensitivity Input'!B19&lt;&gt;"",'1. Sensitivity Input'!B19,"")</f>
        <v/>
      </c>
      <c r="D16" s="16" t="str">
        <f aca="false">IF('1. Sensitivity Input'!F19&lt;&gt;"",'1. Sensitivity Input'!F19-$C$5,"")</f>
        <v/>
      </c>
      <c r="E16" s="16" t="str">
        <f aca="false">IF('1. Sensitivity Input'!G19&lt;&gt;"",'1. Sensitivity Input'!G19-$C$5,"")</f>
        <v/>
      </c>
      <c r="F16" s="16" t="str">
        <f aca="false">IF(D16&lt;&gt;"",MIN(D16,E16),"")</f>
        <v/>
      </c>
      <c r="G16" s="16" t="str">
        <f aca="false">IF(E16&lt;&gt;"",MAX(D16,E16),"")</f>
        <v/>
      </c>
      <c r="H16" s="10" t="str">
        <f aca="false">IF(D16&lt;&gt;"",ABS(G16-F16),"")</f>
        <v/>
      </c>
    </row>
    <row r="17" customFormat="false" ht="15" hidden="false" customHeight="false" outlineLevel="0" collapsed="false">
      <c r="B17" s="14" t="n">
        <v>10</v>
      </c>
      <c r="C17" s="15" t="str">
        <f aca="false">IF('1. Sensitivity Input'!B20&lt;&gt;"",'1. Sensitivity Input'!B20,"")</f>
        <v/>
      </c>
      <c r="D17" s="16" t="str">
        <f aca="false">IF('1. Sensitivity Input'!F20&lt;&gt;"",'1. Sensitivity Input'!F20-$C$5,"")</f>
        <v/>
      </c>
      <c r="E17" s="16" t="str">
        <f aca="false">IF('1. Sensitivity Input'!G20&lt;&gt;"",'1. Sensitivity Input'!G20-$C$5,"")</f>
        <v/>
      </c>
      <c r="F17" s="16" t="str">
        <f aca="false">IF(D17&lt;&gt;"",MIN(D17,E17),"")</f>
        <v/>
      </c>
      <c r="G17" s="16" t="str">
        <f aca="false">IF(E17&lt;&gt;"",MAX(D17,E17),"")</f>
        <v/>
      </c>
      <c r="H17" s="10" t="str">
        <f aca="false">IF(D17&lt;&gt;"",ABS(G17-F17),"")</f>
        <v/>
      </c>
    </row>
    <row r="18" customFormat="false" ht="15" hidden="false" customHeight="false" outlineLevel="0" collapsed="false">
      <c r="B18" s="14" t="n">
        <v>11</v>
      </c>
      <c r="C18" s="15" t="str">
        <f aca="false">IF('1. Sensitivity Input'!B21&lt;&gt;"",'1. Sensitivity Input'!B21,"")</f>
        <v/>
      </c>
      <c r="D18" s="16" t="str">
        <f aca="false">IF('1. Sensitivity Input'!F21&lt;&gt;"",'1. Sensitivity Input'!F21-$C$5,"")</f>
        <v/>
      </c>
      <c r="E18" s="16" t="str">
        <f aca="false">IF('1. Sensitivity Input'!G21&lt;&gt;"",'1. Sensitivity Input'!G21-$C$5,"")</f>
        <v/>
      </c>
      <c r="F18" s="16" t="str">
        <f aca="false">IF(D18&lt;&gt;"",MIN(D18,E18),"")</f>
        <v/>
      </c>
      <c r="G18" s="16" t="str">
        <f aca="false">IF(E18&lt;&gt;"",MAX(D18,E18),"")</f>
        <v/>
      </c>
      <c r="H18" s="10" t="str">
        <f aca="false">IF(D18&lt;&gt;"",ABS(G18-F18),"")</f>
        <v/>
      </c>
    </row>
    <row r="19" customFormat="false" ht="15" hidden="false" customHeight="false" outlineLevel="0" collapsed="false">
      <c r="B19" s="14" t="n">
        <v>12</v>
      </c>
      <c r="C19" s="15" t="str">
        <f aca="false">IF('1. Sensitivity Input'!B22&lt;&gt;"",'1. Sensitivity Input'!B22,"")</f>
        <v/>
      </c>
      <c r="D19" s="16" t="str">
        <f aca="false">IF('1. Sensitivity Input'!F22&lt;&gt;"",'1. Sensitivity Input'!F22-$C$5,"")</f>
        <v/>
      </c>
      <c r="E19" s="16" t="str">
        <f aca="false">IF('1. Sensitivity Input'!G22&lt;&gt;"",'1. Sensitivity Input'!G22-$C$5,"")</f>
        <v/>
      </c>
      <c r="F19" s="16" t="str">
        <f aca="false">IF(D19&lt;&gt;"",MIN(D19,E19),"")</f>
        <v/>
      </c>
      <c r="G19" s="16" t="str">
        <f aca="false">IF(E19&lt;&gt;"",MAX(D19,E19),"")</f>
        <v/>
      </c>
      <c r="H19" s="10" t="str">
        <f aca="false">IF(D19&lt;&gt;"",ABS(G19-F19),"")</f>
        <v/>
      </c>
    </row>
    <row r="21" customFormat="false" ht="15" hidden="false" customHeight="true" outlineLevel="0" collapsed="false">
      <c r="B21" s="17" t="s">
        <v>32</v>
      </c>
      <c r="C21" s="17"/>
      <c r="D21" s="17"/>
      <c r="E21" s="17"/>
      <c r="F21" s="17"/>
      <c r="G21" s="17"/>
      <c r="H21" s="17"/>
    </row>
    <row r="22" customFormat="false" ht="15" hidden="false" customHeight="false" outlineLevel="0" collapsed="false">
      <c r="B22" s="18" t="s">
        <v>33</v>
      </c>
      <c r="C22" s="18"/>
      <c r="D22" s="18"/>
      <c r="E22" s="18"/>
      <c r="F22" s="18"/>
      <c r="G22" s="18"/>
      <c r="H22" s="18"/>
    </row>
    <row r="23" customFormat="false" ht="15" hidden="false" customHeight="false" outlineLevel="0" collapsed="false">
      <c r="B23" s="18" t="s">
        <v>34</v>
      </c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B24" s="18" t="s">
        <v>35</v>
      </c>
      <c r="C24" s="18"/>
      <c r="D24" s="18"/>
      <c r="E24" s="18"/>
      <c r="F24" s="18"/>
      <c r="G24" s="18"/>
      <c r="H24" s="18"/>
    </row>
    <row r="25" customFormat="false" ht="15" hidden="false" customHeight="false" outlineLevel="0" collapsed="false">
      <c r="B25" s="18" t="s">
        <v>36</v>
      </c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B26" s="18" t="s">
        <v>37</v>
      </c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B27" s="18" t="s">
        <v>38</v>
      </c>
      <c r="C27" s="18"/>
      <c r="D27" s="18"/>
      <c r="E27" s="18"/>
      <c r="F27" s="18"/>
      <c r="G27" s="18"/>
      <c r="H27" s="18"/>
    </row>
  </sheetData>
  <mergeCells count="9">
    <mergeCell ref="B2:H2"/>
    <mergeCell ref="B3:H3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2" min="3" style="0" width="10"/>
    <col collapsed="false" customWidth="true" hidden="false" outlineLevel="0" max="13" min="13" style="0" width="3"/>
  </cols>
  <sheetData>
    <row r="2" customFormat="false" ht="22.05" hidden="false" customHeight="true" outlineLevel="0" collapsed="false">
      <c r="B2" s="1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B3" s="2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4" t="s">
        <v>41</v>
      </c>
      <c r="C5" s="19" t="s">
        <v>15</v>
      </c>
      <c r="D5" s="19"/>
      <c r="E5" s="19"/>
    </row>
    <row r="7" customFormat="false" ht="15" hidden="false" customHeight="true" outlineLevel="0" collapsed="false">
      <c r="B7" s="7" t="s">
        <v>42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B8" s="8" t="s">
        <v>43</v>
      </c>
      <c r="C8" s="8" t="n">
        <v>10</v>
      </c>
      <c r="D8" s="8" t="n">
        <v>20</v>
      </c>
      <c r="E8" s="8" t="n">
        <v>30</v>
      </c>
      <c r="F8" s="8" t="n">
        <v>40</v>
      </c>
      <c r="G8" s="8" t="n">
        <v>50</v>
      </c>
      <c r="H8" s="8" t="n">
        <v>60</v>
      </c>
      <c r="I8" s="8" t="n">
        <v>70</v>
      </c>
      <c r="J8" s="8" t="n">
        <v>80</v>
      </c>
      <c r="K8" s="8" t="n">
        <v>90</v>
      </c>
      <c r="L8" s="8" t="n">
        <v>100</v>
      </c>
    </row>
    <row r="9" customFormat="false" ht="15" hidden="false" customHeight="false" outlineLevel="0" collapsed="false">
      <c r="B9" s="20" t="s">
        <v>44</v>
      </c>
      <c r="C9" s="5" t="n">
        <v>35</v>
      </c>
      <c r="D9" s="5" t="n">
        <v>38</v>
      </c>
      <c r="E9" s="5" t="n">
        <v>42</v>
      </c>
      <c r="F9" s="5" t="n">
        <v>46</v>
      </c>
      <c r="G9" s="5" t="n">
        <v>50</v>
      </c>
      <c r="H9" s="5" t="n">
        <v>54</v>
      </c>
      <c r="I9" s="5" t="n">
        <v>58</v>
      </c>
      <c r="J9" s="5" t="n">
        <v>62</v>
      </c>
      <c r="K9" s="5" t="n">
        <v>66</v>
      </c>
      <c r="L9" s="5" t="n">
        <v>70</v>
      </c>
    </row>
    <row r="10" customFormat="false" ht="15" hidden="false" customHeight="false" outlineLevel="0" collapsed="false">
      <c r="B10" s="4" t="s">
        <v>45</v>
      </c>
      <c r="C10" s="21" t="s">
        <v>46</v>
      </c>
      <c r="D10" s="21" t="s">
        <v>46</v>
      </c>
      <c r="E10" s="21" t="s">
        <v>46</v>
      </c>
      <c r="F10" s="21" t="s">
        <v>46</v>
      </c>
      <c r="G10" s="22" t="s">
        <v>47</v>
      </c>
      <c r="H10" s="23" t="s">
        <v>48</v>
      </c>
      <c r="I10" s="23" t="s">
        <v>48</v>
      </c>
      <c r="J10" s="23" t="s">
        <v>48</v>
      </c>
      <c r="K10" s="23" t="s">
        <v>48</v>
      </c>
      <c r="L10" s="23" t="s">
        <v>48</v>
      </c>
    </row>
    <row r="12" customFormat="false" ht="15" hidden="false" customHeight="true" outlineLevel="0" collapsed="false">
      <c r="B12" s="3" t="s">
        <v>49</v>
      </c>
      <c r="C12" s="3"/>
      <c r="D12" s="3"/>
      <c r="E12" s="3"/>
    </row>
    <row r="13" customFormat="false" ht="15" hidden="false" customHeight="false" outlineLevel="0" collapsed="false">
      <c r="B13" s="4" t="s">
        <v>5</v>
      </c>
      <c r="C13" s="24" t="n">
        <v>50</v>
      </c>
      <c r="D13" s="18" t="s">
        <v>50</v>
      </c>
      <c r="E13" s="18"/>
    </row>
    <row r="14" customFormat="false" ht="15" hidden="false" customHeight="false" outlineLevel="0" collapsed="false">
      <c r="B14" s="4" t="s">
        <v>51</v>
      </c>
      <c r="C14" s="19" t="s">
        <v>52</v>
      </c>
      <c r="D14" s="19"/>
      <c r="E14" s="19"/>
    </row>
  </sheetData>
  <mergeCells count="7">
    <mergeCell ref="B2:L2"/>
    <mergeCell ref="B3:L3"/>
    <mergeCell ref="C5:E5"/>
    <mergeCell ref="B7:L7"/>
    <mergeCell ref="B12:E12"/>
    <mergeCell ref="D13:E13"/>
    <mergeCell ref="C14:E14"/>
  </mergeCells>
  <conditionalFormatting sqref="C9:L9">
    <cfRule type="colorScale" priority="2">
      <colorScale>
        <cfvo type="min" val="0"/>
        <cfvo type="percentile" val="50"/>
        <cfvo type="max" val="0"/>
        <color rgb="FFFEE2E2"/>
        <color rgb="FFF1F5F9"/>
        <color rgb="FFDCFCE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8" min="3" style="0" width="12"/>
    <col collapsed="false" customWidth="true" hidden="false" outlineLevel="0" max="9" min="9" style="0" width="3"/>
  </cols>
  <sheetData>
    <row r="2" customFormat="false" ht="22.05" hidden="false" customHeight="true" outlineLevel="0" collapsed="false">
      <c r="B2" s="1" t="s">
        <v>53</v>
      </c>
      <c r="C2" s="1"/>
      <c r="D2" s="1"/>
      <c r="E2" s="1"/>
      <c r="F2" s="1"/>
      <c r="G2" s="1"/>
      <c r="H2" s="1"/>
    </row>
    <row r="3" customFormat="false" ht="26.85" hidden="false" customHeight="true" outlineLevel="0" collapsed="false">
      <c r="B3" s="2" t="s">
        <v>54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55</v>
      </c>
      <c r="C5" s="19" t="s">
        <v>15</v>
      </c>
      <c r="D5" s="19"/>
    </row>
    <row r="6" customFormat="false" ht="15" hidden="false" customHeight="false" outlineLevel="0" collapsed="false">
      <c r="B6" s="4" t="s">
        <v>56</v>
      </c>
      <c r="C6" s="19" t="s">
        <v>16</v>
      </c>
      <c r="D6" s="19"/>
    </row>
    <row r="8" customFormat="false" ht="15" hidden="false" customHeight="true" outlineLevel="0" collapsed="false">
      <c r="B8" s="7" t="s">
        <v>57</v>
      </c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B9" s="8" t="s">
        <v>58</v>
      </c>
      <c r="C9" s="8" t="s">
        <v>59</v>
      </c>
      <c r="D9" s="8" t="s">
        <v>60</v>
      </c>
      <c r="E9" s="8" t="s">
        <v>61</v>
      </c>
      <c r="F9" s="8" t="s">
        <v>62</v>
      </c>
      <c r="G9" s="8" t="s">
        <v>63</v>
      </c>
      <c r="H9" s="8" t="s">
        <v>64</v>
      </c>
    </row>
    <row r="10" customFormat="false" ht="15" hidden="false" customHeight="false" outlineLevel="0" collapsed="false">
      <c r="B10" s="25" t="s">
        <v>59</v>
      </c>
      <c r="C10" s="5" t="n">
        <v>38</v>
      </c>
      <c r="D10" s="5" t="n">
        <v>40</v>
      </c>
      <c r="E10" s="5" t="n">
        <v>42</v>
      </c>
      <c r="F10" s="5" t="n">
        <v>44</v>
      </c>
      <c r="G10" s="5" t="n">
        <v>46</v>
      </c>
      <c r="H10" s="5" t="n">
        <v>48</v>
      </c>
    </row>
    <row r="11" customFormat="false" ht="15" hidden="false" customHeight="false" outlineLevel="0" collapsed="false">
      <c r="B11" s="25" t="s">
        <v>61</v>
      </c>
      <c r="C11" s="5" t="n">
        <v>42</v>
      </c>
      <c r="D11" s="5" t="n">
        <v>44</v>
      </c>
      <c r="E11" s="5" t="n">
        <v>46</v>
      </c>
      <c r="F11" s="5" t="n">
        <v>48</v>
      </c>
      <c r="G11" s="5" t="n">
        <v>50</v>
      </c>
      <c r="H11" s="5" t="n">
        <v>52</v>
      </c>
    </row>
    <row r="12" customFormat="false" ht="15" hidden="false" customHeight="false" outlineLevel="0" collapsed="false">
      <c r="B12" s="25" t="s">
        <v>63</v>
      </c>
      <c r="C12" s="5" t="n">
        <v>46</v>
      </c>
      <c r="D12" s="5" t="n">
        <v>48</v>
      </c>
      <c r="E12" s="5" t="n">
        <v>50</v>
      </c>
      <c r="F12" s="5" t="n">
        <v>52</v>
      </c>
      <c r="G12" s="5" t="n">
        <v>54</v>
      </c>
      <c r="H12" s="5" t="n">
        <v>56</v>
      </c>
    </row>
    <row r="13" customFormat="false" ht="15" hidden="false" customHeight="false" outlineLevel="0" collapsed="false">
      <c r="B13" s="25" t="s">
        <v>65</v>
      </c>
      <c r="C13" s="5" t="n">
        <v>50</v>
      </c>
      <c r="D13" s="5" t="n">
        <v>52</v>
      </c>
      <c r="E13" s="5" t="n">
        <v>54</v>
      </c>
      <c r="F13" s="5" t="n">
        <v>56</v>
      </c>
      <c r="G13" s="5" t="n">
        <v>58</v>
      </c>
      <c r="H13" s="5" t="n">
        <v>60</v>
      </c>
    </row>
    <row r="14" customFormat="false" ht="15" hidden="false" customHeight="false" outlineLevel="0" collapsed="false">
      <c r="B14" s="25" t="s">
        <v>66</v>
      </c>
      <c r="C14" s="5" t="n">
        <v>54</v>
      </c>
      <c r="D14" s="5" t="n">
        <v>56</v>
      </c>
      <c r="E14" s="5" t="n">
        <v>58</v>
      </c>
      <c r="F14" s="5" t="n">
        <v>60</v>
      </c>
      <c r="G14" s="5" t="n">
        <v>62</v>
      </c>
      <c r="H14" s="5" t="n">
        <v>64</v>
      </c>
    </row>
    <row r="16" customFormat="false" ht="22.35" hidden="false" customHeight="true" outlineLevel="0" collapsed="false">
      <c r="B16" s="26" t="s">
        <v>67</v>
      </c>
      <c r="C16" s="26"/>
      <c r="D16" s="26"/>
      <c r="E16" s="26"/>
      <c r="F16" s="26"/>
      <c r="G16" s="26"/>
      <c r="H16" s="26"/>
    </row>
  </sheetData>
  <mergeCells count="6">
    <mergeCell ref="B2:H2"/>
    <mergeCell ref="B3:H3"/>
    <mergeCell ref="C5:D5"/>
    <mergeCell ref="C6:D6"/>
    <mergeCell ref="B8:H8"/>
    <mergeCell ref="B16:H16"/>
  </mergeCells>
  <conditionalFormatting sqref="C10:H14">
    <cfRule type="colorScale" priority="2">
      <colorScale>
        <cfvo type="min" val="0"/>
        <cfvo type="percentile" val="50"/>
        <cfvo type="max" val="0"/>
        <color rgb="FFFEE2E2"/>
        <color rgb="FFF1F5F9"/>
        <color rgb="FFDCFCE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15" hidden="false" customHeight="true" outlineLevel="0" collapsed="false">
      <c r="B2" s="3" t="s">
        <v>68</v>
      </c>
      <c r="C2" s="3"/>
    </row>
    <row r="4" customFormat="false" ht="15" hidden="false" customHeight="false" outlineLevel="0" collapsed="false">
      <c r="B4" s="27" t="s">
        <v>69</v>
      </c>
    </row>
    <row r="5" customFormat="false" ht="23.85" hidden="false" customHeight="false" outlineLevel="0" collapsed="false">
      <c r="B5" s="28" t="s">
        <v>70</v>
      </c>
      <c r="C5" s="29" t="s">
        <v>71</v>
      </c>
    </row>
    <row r="6" customFormat="false" ht="23.85" hidden="false" customHeight="false" outlineLevel="0" collapsed="false">
      <c r="B6" s="28" t="s">
        <v>72</v>
      </c>
      <c r="C6" s="29" t="s">
        <v>73</v>
      </c>
    </row>
    <row r="7" customFormat="false" ht="23.85" hidden="false" customHeight="false" outlineLevel="0" collapsed="false">
      <c r="B7" s="28" t="s">
        <v>74</v>
      </c>
      <c r="C7" s="29" t="s">
        <v>75</v>
      </c>
    </row>
    <row r="8" customFormat="false" ht="23.85" hidden="false" customHeight="false" outlineLevel="0" collapsed="false">
      <c r="B8" s="28" t="s">
        <v>76</v>
      </c>
      <c r="C8" s="29" t="s">
        <v>77</v>
      </c>
    </row>
    <row r="10" customFormat="false" ht="15" hidden="false" customHeight="false" outlineLevel="0" collapsed="false">
      <c r="B10" s="30" t="s">
        <v>78</v>
      </c>
    </row>
    <row r="11" customFormat="false" ht="23.85" hidden="false" customHeight="false" outlineLevel="0" collapsed="false">
      <c r="B11" s="28" t="s">
        <v>79</v>
      </c>
      <c r="C11" s="29" t="s">
        <v>80</v>
      </c>
    </row>
    <row r="12" customFormat="false" ht="23.85" hidden="false" customHeight="false" outlineLevel="0" collapsed="false">
      <c r="B12" s="28" t="s">
        <v>81</v>
      </c>
      <c r="C12" s="29" t="s">
        <v>82</v>
      </c>
    </row>
    <row r="13" customFormat="false" ht="23.85" hidden="false" customHeight="false" outlineLevel="0" collapsed="false">
      <c r="B13" s="28" t="s">
        <v>83</v>
      </c>
      <c r="C13" s="29" t="s">
        <v>84</v>
      </c>
    </row>
    <row r="14" customFormat="false" ht="23.85" hidden="false" customHeight="false" outlineLevel="0" collapsed="false">
      <c r="B14" s="28" t="s">
        <v>85</v>
      </c>
      <c r="C14" s="29" t="s">
        <v>86</v>
      </c>
    </row>
    <row r="16" customFormat="false" ht="15" hidden="false" customHeight="true" outlineLevel="0" collapsed="false">
      <c r="B16" s="31" t="s">
        <v>87</v>
      </c>
      <c r="C16" s="31"/>
    </row>
  </sheetData>
  <mergeCells count="2">
    <mergeCell ref="B2:C2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2025-12-18T03:17:14Z</dcterms:created>
  <dc:creator>openpyxl</dc:creator>
  <dc:description/>
  <dc:language>en-US</dc:language>
  <cp:lastModifiedBy/>
  <dcterms:modified xsi:type="dcterms:W3CDTF">2025-12-18T03:17:14Z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