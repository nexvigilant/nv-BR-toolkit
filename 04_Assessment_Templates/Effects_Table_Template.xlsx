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temp\Downloads\NexVigilant_BR_Intelligence_Toolkit\NexVigilant_BR_Intelligence_Toolkit\04_Assessment_Templates\"/>
    </mc:Choice>
  </mc:AlternateContent>
  <xr:revisionPtr revIDLastSave="0" documentId="13_ncr:1_{DCFD1EF9-54A3-4368-88FF-9AC1181811D8}" xr6:coauthVersionLast="47" xr6:coauthVersionMax="47" xr10:uidLastSave="{00000000-0000-0000-0000-000000000000}"/>
  <bookViews>
    <workbookView xWindow="-110" yWindow="-110" windowWidth="38620" windowHeight="21100" tabRatio="500" activeTab="6" xr2:uid="{00000000-000D-0000-FFFF-FFFF00000000}"/>
  </bookViews>
  <sheets>
    <sheet name="Instructions" sheetId="1" r:id="rId1"/>
    <sheet name="1. Settings" sheetId="2" r:id="rId2"/>
    <sheet name="2. Benefits Data" sheetId="3" r:id="rId3"/>
    <sheet name="3. Risks Data" sheetId="4" r:id="rId4"/>
    <sheet name="4. Forest Plot" sheetId="5" r:id="rId5"/>
    <sheet name="5. Summary Table" sheetId="6" r:id="rId6"/>
    <sheet name="Reference" sheetId="7" r:id="rId7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H27" i="6" l="1"/>
  <c r="G27" i="6"/>
  <c r="F27" i="6"/>
  <c r="E27" i="6"/>
  <c r="D27" i="6"/>
  <c r="C27" i="6"/>
  <c r="H26" i="6"/>
  <c r="G26" i="6"/>
  <c r="F26" i="6"/>
  <c r="E26" i="6"/>
  <c r="D26" i="6"/>
  <c r="C26" i="6"/>
  <c r="H25" i="6"/>
  <c r="G25" i="6"/>
  <c r="F25" i="6"/>
  <c r="E25" i="6"/>
  <c r="D25" i="6"/>
  <c r="C25" i="6"/>
  <c r="H24" i="6"/>
  <c r="G24" i="6"/>
  <c r="F24" i="6"/>
  <c r="E24" i="6"/>
  <c r="D24" i="6"/>
  <c r="C24" i="6"/>
  <c r="H23" i="6"/>
  <c r="G23" i="6"/>
  <c r="F23" i="6"/>
  <c r="E23" i="6"/>
  <c r="D23" i="6"/>
  <c r="C23" i="6"/>
  <c r="H22" i="6"/>
  <c r="G22" i="6"/>
  <c r="F22" i="6"/>
  <c r="E22" i="6"/>
  <c r="D22" i="6"/>
  <c r="C22" i="6"/>
  <c r="H21" i="6"/>
  <c r="G21" i="6"/>
  <c r="F21" i="6"/>
  <c r="E21" i="6"/>
  <c r="D21" i="6"/>
  <c r="C21" i="6"/>
  <c r="H20" i="6"/>
  <c r="G20" i="6"/>
  <c r="F20" i="6"/>
  <c r="E20" i="6"/>
  <c r="D20" i="6"/>
  <c r="C20" i="6"/>
  <c r="H19" i="6"/>
  <c r="G19" i="6"/>
  <c r="F19" i="6"/>
  <c r="E19" i="6"/>
  <c r="D19" i="6"/>
  <c r="C19" i="6"/>
  <c r="H18" i="6"/>
  <c r="G18" i="6"/>
  <c r="F18" i="6"/>
  <c r="E18" i="6"/>
  <c r="D18" i="6"/>
  <c r="C18" i="6"/>
  <c r="H16" i="6"/>
  <c r="G16" i="6"/>
  <c r="F16" i="6"/>
  <c r="E16" i="6"/>
  <c r="D16" i="6"/>
  <c r="C16" i="6"/>
  <c r="H15" i="6"/>
  <c r="G15" i="6"/>
  <c r="F15" i="6"/>
  <c r="E15" i="6"/>
  <c r="D15" i="6"/>
  <c r="C15" i="6"/>
  <c r="H14" i="6"/>
  <c r="G14" i="6"/>
  <c r="F14" i="6"/>
  <c r="E14" i="6"/>
  <c r="D14" i="6"/>
  <c r="C14" i="6"/>
  <c r="H13" i="6"/>
  <c r="G13" i="6"/>
  <c r="F13" i="6"/>
  <c r="E13" i="6"/>
  <c r="D13" i="6"/>
  <c r="C13" i="6"/>
  <c r="H12" i="6"/>
  <c r="G12" i="6"/>
  <c r="F12" i="6"/>
  <c r="E12" i="6"/>
  <c r="D12" i="6"/>
  <c r="C12" i="6"/>
  <c r="H11" i="6"/>
  <c r="G11" i="6"/>
  <c r="F11" i="6"/>
  <c r="E11" i="6"/>
  <c r="D11" i="6"/>
  <c r="C11" i="6"/>
  <c r="H10" i="6"/>
  <c r="G10" i="6"/>
  <c r="F10" i="6"/>
  <c r="E10" i="6"/>
  <c r="D10" i="6"/>
  <c r="C10" i="6"/>
  <c r="H9" i="6"/>
  <c r="G9" i="6"/>
  <c r="F9" i="6"/>
  <c r="E9" i="6"/>
  <c r="D9" i="6"/>
  <c r="C9" i="6"/>
  <c r="H8" i="6"/>
  <c r="G8" i="6"/>
  <c r="F8" i="6"/>
  <c r="E8" i="6"/>
  <c r="D8" i="6"/>
  <c r="C8" i="6"/>
  <c r="H7" i="6"/>
  <c r="G7" i="6"/>
  <c r="F7" i="6"/>
  <c r="E7" i="6"/>
  <c r="D7" i="6"/>
  <c r="C7" i="6"/>
  <c r="B3" i="6"/>
  <c r="G28" i="5"/>
  <c r="F28" i="5"/>
  <c r="E28" i="5"/>
  <c r="H28" i="5" s="1"/>
  <c r="D28" i="5"/>
  <c r="G27" i="5"/>
  <c r="F27" i="5"/>
  <c r="E27" i="5"/>
  <c r="K27" i="5" s="1"/>
  <c r="D27" i="5"/>
  <c r="G26" i="5"/>
  <c r="F26" i="5"/>
  <c r="E26" i="5"/>
  <c r="K26" i="5" s="1"/>
  <c r="D26" i="5"/>
  <c r="K25" i="5"/>
  <c r="J25" i="5"/>
  <c r="I25" i="5"/>
  <c r="H25" i="5"/>
  <c r="G25" i="5"/>
  <c r="F25" i="5"/>
  <c r="E25" i="5"/>
  <c r="D25" i="5"/>
  <c r="H24" i="5"/>
  <c r="G24" i="5"/>
  <c r="F24" i="5"/>
  <c r="E24" i="5"/>
  <c r="J24" i="5" s="1"/>
  <c r="D24" i="5"/>
  <c r="G23" i="5"/>
  <c r="F23" i="5"/>
  <c r="E23" i="5"/>
  <c r="H23" i="5" s="1"/>
  <c r="D23" i="5"/>
  <c r="G22" i="5"/>
  <c r="F22" i="5"/>
  <c r="E22" i="5"/>
  <c r="K22" i="5" s="1"/>
  <c r="D22" i="5"/>
  <c r="G21" i="5"/>
  <c r="F21" i="5"/>
  <c r="E21" i="5"/>
  <c r="K21" i="5" s="1"/>
  <c r="D21" i="5"/>
  <c r="K20" i="5"/>
  <c r="J20" i="5"/>
  <c r="I20" i="5"/>
  <c r="H20" i="5"/>
  <c r="G20" i="5"/>
  <c r="F20" i="5"/>
  <c r="E20" i="5"/>
  <c r="D20" i="5"/>
  <c r="H19" i="5"/>
  <c r="G19" i="5"/>
  <c r="F19" i="5"/>
  <c r="E19" i="5"/>
  <c r="J19" i="5" s="1"/>
  <c r="D19" i="5"/>
  <c r="G17" i="5"/>
  <c r="F17" i="5"/>
  <c r="E17" i="5"/>
  <c r="I17" i="5" s="1"/>
  <c r="D17" i="5"/>
  <c r="G16" i="5"/>
  <c r="F16" i="5"/>
  <c r="E16" i="5"/>
  <c r="K16" i="5" s="1"/>
  <c r="D16" i="5"/>
  <c r="G15" i="5"/>
  <c r="F15" i="5"/>
  <c r="E15" i="5"/>
  <c r="K15" i="5" s="1"/>
  <c r="D15" i="5"/>
  <c r="K14" i="5"/>
  <c r="J14" i="5"/>
  <c r="I14" i="5"/>
  <c r="H14" i="5"/>
  <c r="G14" i="5"/>
  <c r="F14" i="5"/>
  <c r="E14" i="5"/>
  <c r="D14" i="5"/>
  <c r="H13" i="5"/>
  <c r="G13" i="5"/>
  <c r="F13" i="5"/>
  <c r="E13" i="5"/>
  <c r="J13" i="5" s="1"/>
  <c r="D13" i="5"/>
  <c r="G12" i="5"/>
  <c r="F12" i="5"/>
  <c r="E12" i="5"/>
  <c r="H12" i="5" s="1"/>
  <c r="D12" i="5"/>
  <c r="G11" i="5"/>
  <c r="F11" i="5"/>
  <c r="E11" i="5"/>
  <c r="K11" i="5" s="1"/>
  <c r="D11" i="5"/>
  <c r="G10" i="5"/>
  <c r="F10" i="5"/>
  <c r="E10" i="5"/>
  <c r="K10" i="5" s="1"/>
  <c r="D10" i="5"/>
  <c r="K9" i="5"/>
  <c r="J9" i="5"/>
  <c r="I9" i="5"/>
  <c r="H9" i="5"/>
  <c r="G9" i="5"/>
  <c r="F9" i="5"/>
  <c r="E9" i="5"/>
  <c r="D9" i="5"/>
  <c r="H8" i="5"/>
  <c r="G8" i="5"/>
  <c r="F8" i="5"/>
  <c r="E8" i="5"/>
  <c r="J8" i="5" s="1"/>
  <c r="D8" i="5"/>
  <c r="K6" i="5"/>
  <c r="G6" i="5"/>
  <c r="F6" i="5"/>
  <c r="E6" i="5"/>
  <c r="I12" i="5" l="1"/>
  <c r="I28" i="5"/>
  <c r="J12" i="5"/>
  <c r="J17" i="5"/>
  <c r="J23" i="5"/>
  <c r="J28" i="5"/>
  <c r="K23" i="5"/>
  <c r="H21" i="5"/>
  <c r="H26" i="5"/>
  <c r="I10" i="5"/>
  <c r="I15" i="5"/>
  <c r="I21" i="5"/>
  <c r="I26" i="5"/>
  <c r="K12" i="5"/>
  <c r="K17" i="5"/>
  <c r="K28" i="5"/>
  <c r="H10" i="5"/>
  <c r="H15" i="5"/>
  <c r="J10" i="5"/>
  <c r="J15" i="5"/>
  <c r="J21" i="5"/>
  <c r="J26" i="5"/>
  <c r="I23" i="5"/>
  <c r="I8" i="5"/>
  <c r="I13" i="5"/>
  <c r="I19" i="5"/>
  <c r="I24" i="5"/>
  <c r="K8" i="5"/>
  <c r="K13" i="5"/>
  <c r="K19" i="5"/>
  <c r="K24" i="5"/>
  <c r="H11" i="5"/>
  <c r="H16" i="5"/>
  <c r="H22" i="5"/>
  <c r="H27" i="5"/>
  <c r="I11" i="5"/>
  <c r="I22" i="5"/>
  <c r="I27" i="5"/>
  <c r="J11" i="5"/>
  <c r="J16" i="5"/>
  <c r="J22" i="5"/>
  <c r="J27" i="5"/>
  <c r="I16" i="5"/>
  <c r="H17" i="5"/>
</calcChain>
</file>

<file path=xl/sharedStrings.xml><?xml version="1.0" encoding="utf-8"?>
<sst xmlns="http://schemas.openxmlformats.org/spreadsheetml/2006/main" count="167" uniqueCount="114">
  <si>
    <t>NexVigilant Effects Table Template</t>
  </si>
  <si>
    <t>with Forest Plot Visualization | Part of the Benefit-Risk Intelligence Toolkit | Based on CIOMS WG XII (2025)</t>
  </si>
  <si>
    <t>◎ WHAT IS AN EFFECTS TABLE?</t>
  </si>
  <si>
    <t>An Effects Table is a structured summary that displays the magnitude of key benefits and key risks in a standardized format. Per CIOMS WG XII, the Effects Table:
• Presents quantitative outcomes for both product and comparator
• Shows effect sizes with confidence intervals for statistical interpretation
• Indicates which treatment each outcome favors
• Supports forest plot visualization for at-a-glance interpretation
• Enables systematic comparison across multiple benefit-risk criteria
The Effects Table is the quantitative backbone of the BRAD Section 7.2 and serves as input for MCDA when quantitative analysis is warranted.</t>
  </si>
  <si>
    <t>◎ HOW TO USE THIS WORKBOOK</t>
  </si>
  <si>
    <t>STEP 1: Configure Settings (Sheet: "1. Settings")
Set the effect measure type (Risk Ratio, Odds Ratio, Hazard Ratio, or Risk Difference) and define the null value. This determines how the forest plot displays effects.
STEP 2: Enter Benefit Data (Sheet: "2. Benefits Data")
For each key benefit, enter:
  • Outcome name and description
  • Product result (event rate, response rate, or mean value)
  • Comparator result
  • Effect size and 95% confidence interval
  • Importance weight (optional, for MCDA)
STEP 3: Enter Risk Data (Sheet: "3. Risks Data")
For each key risk, enter the same data structure. Risk effects will be displayed with reversed interpretation (lower = better for product).
STEP 4: View Forest Plot Data (Sheet: "4. Forest Plot")
The forest plot visualization sheet automatically calculates plotting coordinates. Use Excel's built-in chart tools to create the visual, or copy data to a dedicated forest plot generator.
STEP 5: Review Summary (Sheet: "5. Summary Table")
The summary consolidates benefits and risks into a single Effects Table formatted for BRAD Section 7.2.</t>
  </si>
  <si>
    <t>◎ CREATING THE FOREST PLOT IN EXCEL</t>
  </si>
  <si>
    <t>TO CREATE A FOREST PLOT FROM THIS DATA:
1. Go to Sheet "4. Forest Plot" - data is pre-formatted for charting
2. Select the data range including outcome names, point estimates, and CI bounds
3. Insert → Chart → Scatter Chart (with only markers)
4. Add error bars:
   • Format Data Series → Error Bars → Custom
   • Negative Error: Select "CI Lower Offset" column
   • Positive Error: Select "CI Upper Offset" column
5. Add a vertical reference line at the null value (1.0 for ratios, 0 for differences)
6. Format:
   • Benefits in teal/green, Risks in gold/red
   • Add outcome labels on Y-axis
   • Title: "Forest Plot: [Product Name] vs [Comparator]"
ALTERNATIVE: Copy the Forest Plot data to dedicated software (RevMan, R forestplot package, or online forest plot generators) for publication-quality visuals.</t>
  </si>
  <si>
    <t>Template developed by NexVigilant LLC | www.nexvigilant.com | © 2025</t>
  </si>
  <si>
    <t>EFFECTS TABLE SETTINGS</t>
  </si>
  <si>
    <t>Product Information</t>
  </si>
  <si>
    <t>Product Name:</t>
  </si>
  <si>
    <t>Enter product INN</t>
  </si>
  <si>
    <t>Comparator:</t>
  </si>
  <si>
    <t>Enter comparator name</t>
  </si>
  <si>
    <t>Indication:</t>
  </si>
  <si>
    <t>Enter indication</t>
  </si>
  <si>
    <t>Data Source:</t>
  </si>
  <si>
    <t>e.g., Pivotal Phase 3, Pooled Analysis</t>
  </si>
  <si>
    <t>Assessment Date:</t>
  </si>
  <si>
    <t>DD-MMM-YYYY</t>
  </si>
  <si>
    <t>Effect Measure Configuration</t>
  </si>
  <si>
    <t>Primary Effect Measure:</t>
  </si>
  <si>
    <t>Risk Ratio</t>
  </si>
  <si>
    <t>Null Value:</t>
  </si>
  <si>
    <t>← Use 1.0 for ratios, 0 for differences</t>
  </si>
  <si>
    <t>Favors Product When:</t>
  </si>
  <si>
    <t>Effect &gt; Null (for benefits)</t>
  </si>
  <si>
    <t>Display Settings</t>
  </si>
  <si>
    <t>Decimal Places:</t>
  </si>
  <si>
    <t>Show P-values:</t>
  </si>
  <si>
    <t>Yes</t>
  </si>
  <si>
    <t>◎ GUIDANCE: The null value determines the reference line position in the forest plot. For relative measures (RR, OR, HR), use 1.0. For absolute measures (RD, MD, SMD), use 0.</t>
  </si>
  <si>
    <t>KEY BENEFITS - EFFECTS DATA</t>
  </si>
  <si>
    <t>Enter quantitative data for each key benefit. Effect sizes should be calculated such that values favoring the product are &gt; null value (e.g., RR &gt; 1 for response rates).</t>
  </si>
  <si>
    <t>#</t>
  </si>
  <si>
    <t>Outcome</t>
  </si>
  <si>
    <t>Description/Endpoint</t>
  </si>
  <si>
    <t>Product
(n/N or %)</t>
  </si>
  <si>
    <t>Comparator
(n/N or %)</t>
  </si>
  <si>
    <t>Effect
Size</t>
  </si>
  <si>
    <t>95% CI
Lower</t>
  </si>
  <si>
    <t>95% CI
Upper</t>
  </si>
  <si>
    <t>P-value</t>
  </si>
  <si>
    <t>Favors</t>
  </si>
  <si>
    <t>Weight</t>
  </si>
  <si>
    <t>Overall Response Rate</t>
  </si>
  <si>
    <t>ORR per RECIST 1.1</t>
  </si>
  <si>
    <t>45/100 (45%)</t>
  </si>
  <si>
    <t>30/100 (30%)</t>
  </si>
  <si>
    <t>Product</t>
  </si>
  <si>
    <t>KEY RISKS - EFFECTS DATA</t>
  </si>
  <si>
    <t>Enter quantitative data for each key risk. For risks, values favoring the product are typically &lt; null value (e.g., RR &lt; 1 means lower risk with product).</t>
  </si>
  <si>
    <t>Risk/AE</t>
  </si>
  <si>
    <t>Description</t>
  </si>
  <si>
    <t>Grade 3+ Neutropenia</t>
  </si>
  <si>
    <t>CTCAE Grade ≥3</t>
  </si>
  <si>
    <t>25/100 (25%)</t>
  </si>
  <si>
    <t>15/100 (15%)</t>
  </si>
  <si>
    <t>Comparator</t>
  </si>
  <si>
    <t>FOREST PLOT DATA</t>
  </si>
  <si>
    <t>This sheet formats data for forest plot visualization. Use these columns to create a scatter chart with error bars in Excel or export to dedicated forest plot software.</t>
  </si>
  <si>
    <t>Type</t>
  </si>
  <si>
    <t>Effect Size</t>
  </si>
  <si>
    <t>CI Lower</t>
  </si>
  <si>
    <t>CI Upper</t>
  </si>
  <si>
    <t>CI Lower
Offset</t>
  </si>
  <si>
    <t>CI Upper
Offset</t>
  </si>
  <si>
    <t>Plot Y</t>
  </si>
  <si>
    <t>Effect Size (95% CI)</t>
  </si>
  <si>
    <t>--</t>
  </si>
  <si>
    <t>REF</t>
  </si>
  <si>
    <t>Null Reference Line</t>
  </si>
  <si>
    <t>BENEFITS</t>
  </si>
  <si>
    <t>BEN</t>
  </si>
  <si>
    <t>RISKS</t>
  </si>
  <si>
    <t>RSK</t>
  </si>
  <si>
    <t>EFFECTS TABLE SUMMARY</t>
  </si>
  <si>
    <t>95% CI</t>
  </si>
  <si>
    <t>KEY BENEFITS</t>
  </si>
  <si>
    <t>Benefit</t>
  </si>
  <si>
    <t>KEY RISKS</t>
  </si>
  <si>
    <t>Risk</t>
  </si>
  <si>
    <t>◎ GUIDANCE: Copy this summary table directly into BRAD Section 7.2. For forest plot, use Sheet 4 data with Excel charting or export to RevMan/R.</t>
  </si>
  <si>
    <t>REFERENCE INFORMATION</t>
  </si>
  <si>
    <t>EFFECT MEASURES</t>
  </si>
  <si>
    <t>Risk Ratio (RR)</t>
  </si>
  <si>
    <t>Relative risk; ratio of event rates. RR=1 means no difference. RR&gt;1 means higher rate in product group.</t>
  </si>
  <si>
    <t>Odds Ratio (OR)</t>
  </si>
  <si>
    <t>Ratio of odds of event. OR=1 means no difference. Approximates RR when events are rare (&lt;10%).</t>
  </si>
  <si>
    <t>Hazard Ratio (HR)</t>
  </si>
  <si>
    <t>Ratio of hazard rates (time-to-event). HR=1 means no difference. HR&lt;1 typically means longer time-to-event with product.</t>
  </si>
  <si>
    <t>Risk Difference (RD)</t>
  </si>
  <si>
    <t>Absolute difference in event rates (Product - Comparator). RD=0 means no difference.</t>
  </si>
  <si>
    <t>Mean Difference (MD)</t>
  </si>
  <si>
    <t>Difference in means for continuous outcomes. MD=0 means no difference.</t>
  </si>
  <si>
    <t>Standardized Mean Diff</t>
  </si>
  <si>
    <t>Mean difference divided by pooled SD. SMD=0 means no difference. Allows comparison across different scales.</t>
  </si>
  <si>
    <t>INTERPRETATION GUIDE</t>
  </si>
  <si>
    <t>For Benefits (RR/OR/HR)</t>
  </si>
  <si>
    <t>Effect &gt; 1 typically favors product (higher response rate, better outcome). Exception: If measuring time-to-bad-event, HR &lt; 1 favors product.</t>
  </si>
  <si>
    <t>For Risks (RR/OR/HR)</t>
  </si>
  <si>
    <t>Effect &lt; 1 typically favors product (lower adverse event rate). Effect &gt; 1 means product has higher risk.</t>
  </si>
  <si>
    <t>For Differences (RD/MD)</t>
  </si>
  <si>
    <t>Positive/negative interpretation depends on outcome direction. Always specify in Description column.</t>
  </si>
  <si>
    <t>Confidence Interval</t>
  </si>
  <si>
    <t>If 95% CI excludes the null value (1 for ratios, 0 for differences), result is statistically significant at p&lt;0.05.</t>
  </si>
  <si>
    <t>Clinical Significance</t>
  </si>
  <si>
    <t>Statistical significance ≠ clinical significance. Consider minimum clinically important difference (MCID).</t>
  </si>
  <si>
    <t>SOURCES</t>
  </si>
  <si>
    <t>CIOMS Working Group XII: Benefit-Risk Balance for Medicinal Products (May 2025)</t>
  </si>
  <si>
    <t>Higgins JPT, Thomas J, et al. Cochrane Handbook for Systematic Reviews of Interventions</t>
  </si>
  <si>
    <t>IMI-PROTECT Benefit-Risk Wave 1 Report: Recommendations for the methodology and visualisation techniques</t>
  </si>
  <si>
    <t>Template © 2025 NexVigilant LLC | www.nexvigilant.com | Empowerment Through Vigilance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</si>
</sst>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12" x14ac:knownFonts="1">
    <font>
      <sz val="11"/>
      <color theme="1"/>
      <name val="Calibri"/>
      <family val="2"/>
      <charset val="1"/>
    </font>
    <font>
      <b/>
      <sz val="20"/>
      <color rgb="FF1A365D"/>
      <name val="Arial"/>
      <charset val="1"/>
    </font>
    <font>
      <i/>
      <sz val="12"/>
      <color rgb="FF64748B"/>
      <name val="Arial"/>
      <charset val="1"/>
    </font>
    <font>
      <b/>
      <sz val="11"/>
      <color rgb="FF1A365D"/>
      <name val="Arial"/>
      <charset val="1"/>
    </font>
    <font>
      <sz val="10"/>
      <color rgb="FF000000"/>
      <name val="Arial"/>
      <charset val="1"/>
    </font>
    <font>
      <sz val="8"/>
      <color rgb="FF64748B"/>
      <name val="Arial"/>
      <charset val="1"/>
    </font>
    <font>
      <b/>
      <sz val="14"/>
      <color rgb="FFFFFFFF"/>
      <name val="Arial"/>
      <charset val="1"/>
    </font>
    <font>
      <b/>
      <sz val="10"/>
      <color rgb="FF1A365D"/>
      <name val="Arial"/>
      <charset val="1"/>
    </font>
    <font>
      <i/>
      <sz val="10"/>
      <color rgb="FF64748B"/>
      <name val="Arial"/>
      <charset val="1"/>
    </font>
    <font>
      <i/>
      <sz val="9"/>
      <color rgb="FF0D9488"/>
      <name val="Arial"/>
      <charset val="1"/>
    </font>
    <font>
      <b/>
      <sz val="10"/>
      <color rgb="FFFFFFFF"/>
      <name val="Arial"/>
      <charset val="1"/>
    </font>
    <font>
      <sz val="10"/>
      <color rgb="FF1A365D"/>
      <name val="Arial"/>
      <charset val="1"/>
    </font>
  </fonts>
  <fills count="13">
    <fill>
      <patternFill patternType="none"/>
    </fill>
    <fill>
      <patternFill patternType="gray125"/>
    </fill>
    <fill>
      <patternFill patternType="solid">
        <fgColor rgb="FFE0F2FE"/>
        <bgColor rgb="FFF1F5F9"/>
      </patternFill>
    </fill>
    <fill>
      <patternFill patternType="solid">
        <fgColor rgb="FFCCFBF1"/>
        <bgColor rgb="FFDCFCE7"/>
      </patternFill>
    </fill>
    <fill>
      <patternFill patternType="solid">
        <fgColor rgb="FFFEF3C7"/>
        <bgColor rgb="FFFEE2E2"/>
      </patternFill>
    </fill>
    <fill>
      <patternFill patternType="solid">
        <fgColor rgb="FF1A365D"/>
        <bgColor rgb="FF333333"/>
      </patternFill>
    </fill>
    <fill>
      <patternFill patternType="solid">
        <fgColor rgb="FFF1F5F9"/>
        <bgColor rgb="FFE0F2FE"/>
      </patternFill>
    </fill>
    <fill>
      <patternFill patternType="solid">
        <fgColor rgb="FF0D9488"/>
        <bgColor rgb="FF008080"/>
      </patternFill>
    </fill>
    <fill>
      <patternFill patternType="solid">
        <fgColor rgb="FF16A34A"/>
        <bgColor rgb="FF0D9488"/>
      </patternFill>
    </fill>
    <fill>
      <patternFill patternType="solid">
        <fgColor rgb="FFDCFCE7"/>
        <bgColor rgb="FFCCFBF1"/>
      </patternFill>
    </fill>
    <fill>
      <patternFill patternType="solid">
        <fgColor rgb="FFD97706"/>
        <bgColor rgb="FFFF9900"/>
      </patternFill>
    </fill>
    <fill>
      <patternFill patternType="solid">
        <fgColor rgb="FFDC2626"/>
        <bgColor rgb="FF993300"/>
      </patternFill>
    </fill>
    <fill>
      <patternFill patternType="solid">
        <fgColor rgb="FFFEE2E2"/>
        <bgColor rgb="FFFEF3C7"/>
      </patternFill>
    </fill>
  </fills>
  <borders count="3">
    <border>
      <left/>
      <right/>
      <top/>
      <bottom/>
      <diagonal/>
    </border>
    <border>
      <left style="thin">
        <color rgb="FF64748B"/>
      </left>
      <right style="thin">
        <color rgb="FF64748B"/>
      </right>
      <top style="thin">
        <color rgb="FF64748B"/>
      </top>
      <bottom style="thin">
        <color rgb="FF64748B"/>
      </bottom>
      <diagonal/>
    </border>
    <border>
      <left style="thin">
        <color rgb="FF64748B"/>
      </left>
      <right/>
      <top style="thin">
        <color rgb="FF64748B"/>
      </top>
      <bottom style="thin">
        <color rgb="FF64748B"/>
      </bottom>
      <diagonal/>
    </border>
  </borders>
  <cellStyleXfs count="1">
    <xf numFmtId="0" fontId="0" fillId="0" borderId="0"/>
  </cellStyleXfs>
  <cellXfs count="47">
    <xf numFmtId="0" fontId="0" fillId="0" borderId="0" xfId="0"/>
    <xf numFmtId="0" fontId="5" fillId="0" borderId="0" xfId="0" applyFont="1" applyAlignment="1">
      <alignment horizontal="center" vertical="center" wrapText="1"/>
    </xf>
    <xf numFmtId="0" fontId="4" fillId="0" borderId="0" xfId="0" applyFont="1"/>
    <xf numFmtId="0" fontId="9" fillId="2" borderId="2" xfId="0" applyFont="1" applyFill="1" applyBorder="1" applyAlignment="1">
      <alignment horizontal="left" vertical="center" wrapText="1"/>
    </xf>
    <xf numFmtId="0" fontId="2" fillId="0" borderId="0" xfId="0" applyFont="1" applyAlignment="1">
      <alignment horizontal="center" vertical="center" wrapText="1"/>
    </xf>
    <xf numFmtId="0" fontId="10" fillId="10" borderId="0" xfId="0" applyFont="1" applyFill="1" applyAlignment="1">
      <alignment horizontal="center" vertical="center" wrapText="1"/>
    </xf>
    <xf numFmtId="0" fontId="10" fillId="7" borderId="0" xfId="0" applyFont="1" applyFill="1" applyAlignment="1">
      <alignment horizontal="center" vertical="center" wrapText="1"/>
    </xf>
    <xf numFmtId="0" fontId="9" fillId="2" borderId="0" xfId="0" applyFont="1" applyFill="1" applyAlignment="1">
      <alignment horizontal="left" vertical="center" wrapText="1"/>
    </xf>
    <xf numFmtId="0" fontId="9" fillId="4" borderId="0" xfId="0" applyFont="1" applyFill="1" applyAlignment="1">
      <alignment horizontal="left" vertical="center" wrapText="1"/>
    </xf>
    <xf numFmtId="0" fontId="6" fillId="10" borderId="0" xfId="0" applyFont="1" applyFill="1" applyAlignment="1">
      <alignment horizontal="center" vertical="center" wrapText="1"/>
    </xf>
    <xf numFmtId="0" fontId="9" fillId="3" borderId="0" xfId="0" applyFont="1" applyFill="1" applyAlignment="1">
      <alignment horizontal="left" vertical="center" wrapText="1"/>
    </xf>
    <xf numFmtId="0" fontId="6" fillId="7" borderId="0" xfId="0" applyFont="1" applyFill="1" applyAlignment="1">
      <alignment horizontal="center" vertical="center" wrapText="1"/>
    </xf>
    <xf numFmtId="0" fontId="9" fillId="3" borderId="2" xfId="0" applyFont="1" applyFill="1" applyBorder="1" applyAlignment="1">
      <alignment horizontal="left" vertical="center" wrapText="1"/>
    </xf>
    <xf numFmtId="0" fontId="6" fillId="5" borderId="0" xfId="0" applyFont="1" applyFill="1" applyAlignment="1">
      <alignment horizontal="center" vertical="center" wrapText="1"/>
    </xf>
    <xf numFmtId="0" fontId="1" fillId="0" borderId="0" xfId="0" applyFont="1"/>
    <xf numFmtId="0" fontId="2" fillId="0" borderId="0" xfId="0" applyFont="1"/>
    <xf numFmtId="0" fontId="3" fillId="2" borderId="0" xfId="0" applyFont="1" applyFill="1"/>
    <xf numFmtId="0" fontId="4" fillId="0" borderId="0" xfId="0" applyFont="1" applyAlignment="1">
      <alignment horizontal="left" vertical="top" wrapText="1"/>
    </xf>
    <xf numFmtId="0" fontId="3" fillId="3" borderId="0" xfId="0" applyFont="1" applyFill="1"/>
    <xf numFmtId="0" fontId="3" fillId="4" borderId="0" xfId="0" applyFont="1" applyFill="1"/>
    <xf numFmtId="0" fontId="5" fillId="0" borderId="0" xfId="0" applyFont="1" applyAlignment="1">
      <alignment horizontal="center" vertical="center" wrapText="1"/>
    </xf>
    <xf numFmtId="0" fontId="3" fillId="6" borderId="0" xfId="0" applyFont="1" applyFill="1"/>
    <xf numFmtId="0" fontId="7" fillId="6" borderId="1" xfId="0" applyFont="1" applyFill="1" applyBorder="1"/>
    <xf numFmtId="0" fontId="8" fillId="0" borderId="1" xfId="0" applyFont="1" applyBorder="1"/>
    <xf numFmtId="0" fontId="4" fillId="0" borderId="1" xfId="0" applyFont="1" applyBorder="1"/>
    <xf numFmtId="2" fontId="4" fillId="0" borderId="1" xfId="0" applyNumberFormat="1" applyFont="1" applyBorder="1"/>
    <xf numFmtId="0" fontId="9" fillId="0" borderId="0" xfId="0" applyFont="1"/>
    <xf numFmtId="0" fontId="10" fillId="8" borderId="1" xfId="0" applyFont="1" applyFill="1" applyBorder="1" applyAlignment="1">
      <alignment horizontal="center" vertical="center" wrapText="1"/>
    </xf>
    <xf numFmtId="0" fontId="4" fillId="9" borderId="1" xfId="0" applyFont="1" applyFill="1" applyBorder="1" applyAlignment="1">
      <alignment horizontal="center" vertical="center" wrapText="1"/>
    </xf>
    <xf numFmtId="2" fontId="4" fillId="0" borderId="1" xfId="0" applyNumberFormat="1" applyFont="1" applyBorder="1" applyAlignment="1">
      <alignment horizontal="center" vertical="center" wrapText="1"/>
    </xf>
    <xf numFmtId="164" fontId="4" fillId="0" borderId="1" xfId="0" applyNumberFormat="1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0" fillId="0" borderId="1" xfId="0" applyBorder="1"/>
    <xf numFmtId="2" fontId="0" fillId="0" borderId="1" xfId="0" applyNumberFormat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10" fillId="11" borderId="1" xfId="0" applyFont="1" applyFill="1" applyBorder="1" applyAlignment="1">
      <alignment horizontal="center" vertical="center" wrapText="1"/>
    </xf>
    <xf numFmtId="0" fontId="4" fillId="12" borderId="1" xfId="0" applyFont="1" applyFill="1" applyBorder="1" applyAlignment="1">
      <alignment horizontal="center" vertical="center" wrapText="1"/>
    </xf>
    <xf numFmtId="0" fontId="10" fillId="5" borderId="1" xfId="0" applyFont="1" applyFill="1" applyBorder="1" applyAlignment="1">
      <alignment horizontal="center" vertical="center" wrapText="1"/>
    </xf>
    <xf numFmtId="0" fontId="4" fillId="6" borderId="1" xfId="0" applyFont="1" applyFill="1" applyBorder="1"/>
    <xf numFmtId="2" fontId="4" fillId="6" borderId="1" xfId="0" applyNumberFormat="1" applyFont="1" applyFill="1" applyBorder="1" applyAlignment="1">
      <alignment horizontal="center" vertical="center" wrapText="1"/>
    </xf>
    <xf numFmtId="0" fontId="4" fillId="6" borderId="1" xfId="0" applyFont="1" applyFill="1" applyBorder="1" applyAlignment="1">
      <alignment horizontal="center" vertical="center" wrapText="1"/>
    </xf>
    <xf numFmtId="2" fontId="11" fillId="0" borderId="1" xfId="0" applyNumberFormat="1" applyFont="1" applyBorder="1" applyAlignment="1">
      <alignment horizontal="center" vertical="center" wrapText="1"/>
    </xf>
    <xf numFmtId="0" fontId="11" fillId="0" borderId="1" xfId="0" applyFont="1" applyBorder="1" applyAlignment="1">
      <alignment horizontal="center" vertical="center" wrapText="1"/>
    </xf>
    <xf numFmtId="0" fontId="4" fillId="4" borderId="1" xfId="0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7" fillId="0" borderId="1" xfId="0" applyFont="1" applyBorder="1"/>
    <xf numFmtId="0" fontId="4" fillId="0" borderId="1" xfId="0" applyFont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DC2626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D9488"/>
      <rgbColor rgb="FFC0C0C0"/>
      <rgbColor rgb="FF808080"/>
      <rgbColor rgb="FF9999FF"/>
      <rgbColor rgb="FF993366"/>
      <rgbColor rgb="FFFEF3C7"/>
      <rgbColor rgb="FFCCFBF1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DCFCE7"/>
      <rgbColor rgb="FFE0F2FE"/>
      <rgbColor rgb="FFF1F5F9"/>
      <rgbColor rgb="FF99CCFF"/>
      <rgbColor rgb="FFFF99CC"/>
      <rgbColor rgb="FFCC99FF"/>
      <rgbColor rgb="FFFEE2E2"/>
      <rgbColor rgb="FF3366FF"/>
      <rgbColor rgb="FF33CCCC"/>
      <rgbColor rgb="FF99CC00"/>
      <rgbColor rgb="FFFFCC00"/>
      <rgbColor rgb="FFFF9900"/>
      <rgbColor rgb="FFD97706"/>
      <rgbColor rgb="FF64748B"/>
      <rgbColor rgb="FF969696"/>
      <rgbColor rgb="FF1A365D"/>
      <rgbColor rgb="FF16A34A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B14"/>
  <sheetViews>
    <sheetView zoomScaleNormal="100" workbookViewId="0">
      <selection activeCell="B9" sqref="B9"/>
    </sheetView>
  </sheetViews>
  <sheetFormatPr defaultColWidth="8.6328125" defaultRowHeight="14.5" x14ac:dyDescent="0.35"/>
  <cols>
    <col min="1" max="1" width="3" customWidth="1"/>
    <col min="2" max="2" width="116.81640625" bestFit="1" customWidth="1"/>
    <col min="3" max="3" width="3" customWidth="1"/>
  </cols>
  <sheetData>
    <row r="2" spans="2:2" ht="25" x14ac:dyDescent="0.5">
      <c r="B2" s="14" t="s">
        <v>0</v>
      </c>
    </row>
    <row r="3" spans="2:2" ht="15.5" x14ac:dyDescent="0.35">
      <c r="B3" s="15" t="s">
        <v>1</v>
      </c>
    </row>
    <row r="5" spans="2:2" x14ac:dyDescent="0.35">
      <c r="B5" s="16" t="s">
        <v>2</v>
      </c>
    </row>
    <row r="6" spans="2:2" ht="125" x14ac:dyDescent="0.35">
      <c r="B6" s="17" t="s">
        <v>3</v>
      </c>
    </row>
    <row r="8" spans="2:2" x14ac:dyDescent="0.35">
      <c r="B8" s="18" t="s">
        <v>4</v>
      </c>
    </row>
    <row r="9" spans="2:2" ht="262.5" x14ac:dyDescent="0.35">
      <c r="B9" s="17" t="s">
        <v>5</v>
      </c>
    </row>
    <row r="11" spans="2:2" x14ac:dyDescent="0.35">
      <c r="B11" s="19" t="s">
        <v>6</v>
      </c>
    </row>
    <row r="12" spans="2:2" ht="212.5" x14ac:dyDescent="0.35">
      <c r="B12" s="17" t="s">
        <v>7</v>
      </c>
    </row>
    <row r="14" spans="2:2" x14ac:dyDescent="0.35">
      <c r="B14" s="20" t="s">
        <v>8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D20"/>
  <sheetViews>
    <sheetView zoomScaleNormal="100" workbookViewId="0"/>
  </sheetViews>
  <sheetFormatPr defaultColWidth="8.6328125" defaultRowHeight="14.5" x14ac:dyDescent="0.35"/>
  <cols>
    <col min="1" max="1" width="3" customWidth="1"/>
    <col min="2" max="2" width="30" customWidth="1"/>
    <col min="3" max="4" width="40" customWidth="1"/>
    <col min="5" max="5" width="3" customWidth="1"/>
  </cols>
  <sheetData>
    <row r="2" spans="2:4" ht="17.399999999999999" customHeight="1" x14ac:dyDescent="0.35">
      <c r="B2" s="13" t="s">
        <v>9</v>
      </c>
      <c r="C2" s="13"/>
      <c r="D2" s="13"/>
    </row>
    <row r="4" spans="2:4" x14ac:dyDescent="0.35">
      <c r="B4" s="21" t="s">
        <v>10</v>
      </c>
    </row>
    <row r="5" spans="2:4" x14ac:dyDescent="0.35">
      <c r="B5" s="22" t="s">
        <v>11</v>
      </c>
      <c r="C5" s="23" t="s">
        <v>12</v>
      </c>
    </row>
    <row r="6" spans="2:4" x14ac:dyDescent="0.35">
      <c r="B6" s="22" t="s">
        <v>13</v>
      </c>
      <c r="C6" s="23" t="s">
        <v>14</v>
      </c>
    </row>
    <row r="7" spans="2:4" x14ac:dyDescent="0.35">
      <c r="B7" s="22" t="s">
        <v>15</v>
      </c>
      <c r="C7" s="23" t="s">
        <v>16</v>
      </c>
    </row>
    <row r="8" spans="2:4" x14ac:dyDescent="0.35">
      <c r="B8" s="22" t="s">
        <v>17</v>
      </c>
      <c r="C8" s="23" t="s">
        <v>18</v>
      </c>
    </row>
    <row r="9" spans="2:4" x14ac:dyDescent="0.35">
      <c r="B9" s="22" t="s">
        <v>19</v>
      </c>
      <c r="C9" s="23" t="s">
        <v>20</v>
      </c>
    </row>
    <row r="11" spans="2:4" x14ac:dyDescent="0.35">
      <c r="B11" s="16" t="s">
        <v>21</v>
      </c>
    </row>
    <row r="12" spans="2:4" x14ac:dyDescent="0.35">
      <c r="B12" s="22" t="s">
        <v>22</v>
      </c>
      <c r="C12" s="24" t="s">
        <v>23</v>
      </c>
    </row>
    <row r="13" spans="2:4" x14ac:dyDescent="0.35">
      <c r="B13" s="22" t="s">
        <v>24</v>
      </c>
      <c r="C13" s="25">
        <v>1</v>
      </c>
      <c r="D13" s="26" t="s">
        <v>25</v>
      </c>
    </row>
    <row r="14" spans="2:4" x14ac:dyDescent="0.35">
      <c r="B14" s="22" t="s">
        <v>26</v>
      </c>
      <c r="C14" s="24" t="s">
        <v>27</v>
      </c>
    </row>
    <row r="16" spans="2:4" x14ac:dyDescent="0.35">
      <c r="B16" s="18" t="s">
        <v>28</v>
      </c>
    </row>
    <row r="17" spans="2:4" x14ac:dyDescent="0.35">
      <c r="B17" s="22" t="s">
        <v>29</v>
      </c>
      <c r="C17" s="24">
        <v>2</v>
      </c>
    </row>
    <row r="18" spans="2:4" x14ac:dyDescent="0.35">
      <c r="B18" s="22" t="s">
        <v>30</v>
      </c>
      <c r="C18" s="24" t="s">
        <v>31</v>
      </c>
    </row>
    <row r="20" spans="2:4" ht="22.4" customHeight="1" x14ac:dyDescent="0.35">
      <c r="B20" s="12" t="s">
        <v>32</v>
      </c>
      <c r="C20" s="12"/>
      <c r="D20" s="12"/>
    </row>
  </sheetData>
  <mergeCells count="2">
    <mergeCell ref="B2:D2"/>
    <mergeCell ref="B20:D20"/>
  </mergeCells>
  <dataValidations count="2">
    <dataValidation type="list" sqref="C12" xr:uid="{00000000-0002-0000-0100-000000000000}">
      <formula1>"Risk Ratio,Odds Ratio,Hazard Ratio,Risk Difference,Mean Difference,Standardized Mean Difference"</formula1>
      <formula2>0</formula2>
    </dataValidation>
    <dataValidation type="list" sqref="C18" xr:uid="{00000000-0002-0000-0100-000001000000}">
      <formula1>"Yes,No"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2:L15"/>
  <sheetViews>
    <sheetView zoomScaleNormal="100" workbookViewId="0"/>
  </sheetViews>
  <sheetFormatPr defaultColWidth="8.6328125" defaultRowHeight="14.5" x14ac:dyDescent="0.35"/>
  <cols>
    <col min="1" max="1" width="3" customWidth="1"/>
    <col min="2" max="2" width="5" customWidth="1"/>
    <col min="3" max="3" width="25" customWidth="1"/>
    <col min="4" max="4" width="30" customWidth="1"/>
    <col min="5" max="7" width="12" customWidth="1"/>
    <col min="8" max="10" width="10" customWidth="1"/>
    <col min="11" max="11" width="12" customWidth="1"/>
    <col min="12" max="12" width="10" customWidth="1"/>
    <col min="13" max="13" width="3" customWidth="1"/>
  </cols>
  <sheetData>
    <row r="2" spans="2:12" ht="17.399999999999999" customHeight="1" x14ac:dyDescent="0.35">
      <c r="B2" s="11" t="s">
        <v>33</v>
      </c>
      <c r="C2" s="11"/>
      <c r="D2" s="11"/>
      <c r="E2" s="11"/>
      <c r="F2" s="11"/>
      <c r="G2" s="11"/>
      <c r="H2" s="11"/>
      <c r="I2" s="11"/>
      <c r="J2" s="11"/>
      <c r="K2" s="11"/>
      <c r="L2" s="11"/>
    </row>
    <row r="3" spans="2:12" ht="15" customHeight="1" x14ac:dyDescent="0.35">
      <c r="B3" s="10" t="s">
        <v>34</v>
      </c>
      <c r="C3" s="10"/>
      <c r="D3" s="10"/>
      <c r="E3" s="10"/>
      <c r="F3" s="10"/>
      <c r="G3" s="10"/>
      <c r="H3" s="10"/>
      <c r="I3" s="10"/>
      <c r="J3" s="10"/>
      <c r="K3" s="10"/>
      <c r="L3" s="10"/>
    </row>
    <row r="5" spans="2:12" ht="34.5" customHeight="1" x14ac:dyDescent="0.35">
      <c r="B5" s="27" t="s">
        <v>35</v>
      </c>
      <c r="C5" s="27" t="s">
        <v>36</v>
      </c>
      <c r="D5" s="27" t="s">
        <v>37</v>
      </c>
      <c r="E5" s="27" t="s">
        <v>38</v>
      </c>
      <c r="F5" s="27" t="s">
        <v>39</v>
      </c>
      <c r="G5" s="27" t="s">
        <v>40</v>
      </c>
      <c r="H5" s="27" t="s">
        <v>41</v>
      </c>
      <c r="I5" s="27" t="s">
        <v>42</v>
      </c>
      <c r="J5" s="27" t="s">
        <v>43</v>
      </c>
      <c r="K5" s="27" t="s">
        <v>44</v>
      </c>
      <c r="L5" s="27" t="s">
        <v>45</v>
      </c>
    </row>
    <row r="6" spans="2:12" x14ac:dyDescent="0.35">
      <c r="B6" s="28">
        <v>1</v>
      </c>
      <c r="C6" s="24" t="s">
        <v>46</v>
      </c>
      <c r="D6" s="24" t="s">
        <v>47</v>
      </c>
      <c r="E6" s="24" t="s">
        <v>48</v>
      </c>
      <c r="F6" s="24" t="s">
        <v>49</v>
      </c>
      <c r="G6" s="29">
        <v>1.5</v>
      </c>
      <c r="H6" s="29">
        <v>1.1499999999999999</v>
      </c>
      <c r="I6" s="29">
        <v>1.95</v>
      </c>
      <c r="J6" s="30">
        <v>3.0000000000000001E-3</v>
      </c>
      <c r="K6" s="31" t="s">
        <v>50</v>
      </c>
      <c r="L6" s="29">
        <v>1</v>
      </c>
    </row>
    <row r="7" spans="2:12" x14ac:dyDescent="0.35">
      <c r="B7" s="28">
        <v>2</v>
      </c>
      <c r="C7" s="32"/>
      <c r="D7" s="32"/>
      <c r="E7" s="32"/>
      <c r="F7" s="32"/>
      <c r="G7" s="33"/>
      <c r="H7" s="33"/>
      <c r="I7" s="33"/>
      <c r="J7" s="33"/>
      <c r="K7" s="34"/>
      <c r="L7" s="33"/>
    </row>
    <row r="8" spans="2:12" x14ac:dyDescent="0.35">
      <c r="B8" s="28">
        <v>3</v>
      </c>
      <c r="C8" s="32"/>
      <c r="D8" s="32"/>
      <c r="E8" s="32"/>
      <c r="F8" s="32"/>
      <c r="G8" s="33"/>
      <c r="H8" s="33"/>
      <c r="I8" s="33"/>
      <c r="J8" s="33"/>
      <c r="K8" s="34"/>
      <c r="L8" s="33"/>
    </row>
    <row r="9" spans="2:12" x14ac:dyDescent="0.35">
      <c r="B9" s="28">
        <v>4</v>
      </c>
      <c r="C9" s="32"/>
      <c r="D9" s="32"/>
      <c r="E9" s="32"/>
      <c r="F9" s="32"/>
      <c r="G9" s="33"/>
      <c r="H9" s="33"/>
      <c r="I9" s="33"/>
      <c r="J9" s="33"/>
      <c r="K9" s="34"/>
      <c r="L9" s="33"/>
    </row>
    <row r="10" spans="2:12" x14ac:dyDescent="0.35">
      <c r="B10" s="28">
        <v>5</v>
      </c>
      <c r="C10" s="32"/>
      <c r="D10" s="32"/>
      <c r="E10" s="32"/>
      <c r="F10" s="32"/>
      <c r="G10" s="33"/>
      <c r="H10" s="33"/>
      <c r="I10" s="33"/>
      <c r="J10" s="33"/>
      <c r="K10" s="34"/>
      <c r="L10" s="33"/>
    </row>
    <row r="11" spans="2:12" x14ac:dyDescent="0.35">
      <c r="B11" s="28">
        <v>6</v>
      </c>
      <c r="C11" s="32"/>
      <c r="D11" s="32"/>
      <c r="E11" s="32"/>
      <c r="F11" s="32"/>
      <c r="G11" s="33"/>
      <c r="H11" s="33"/>
      <c r="I11" s="33"/>
      <c r="J11" s="33"/>
      <c r="K11" s="34"/>
      <c r="L11" s="33"/>
    </row>
    <row r="12" spans="2:12" x14ac:dyDescent="0.35">
      <c r="B12" s="28">
        <v>7</v>
      </c>
      <c r="C12" s="32"/>
      <c r="D12" s="32"/>
      <c r="E12" s="32"/>
      <c r="F12" s="32"/>
      <c r="G12" s="33"/>
      <c r="H12" s="33"/>
      <c r="I12" s="33"/>
      <c r="J12" s="33"/>
      <c r="K12" s="34"/>
      <c r="L12" s="33"/>
    </row>
    <row r="13" spans="2:12" x14ac:dyDescent="0.35">
      <c r="B13" s="28">
        <v>8</v>
      </c>
      <c r="C13" s="32"/>
      <c r="D13" s="32"/>
      <c r="E13" s="32"/>
      <c r="F13" s="32"/>
      <c r="G13" s="33"/>
      <c r="H13" s="33"/>
      <c r="I13" s="33"/>
      <c r="J13" s="33"/>
      <c r="K13" s="34"/>
      <c r="L13" s="33"/>
    </row>
    <row r="14" spans="2:12" x14ac:dyDescent="0.35">
      <c r="B14" s="28">
        <v>9</v>
      </c>
      <c r="C14" s="32"/>
      <c r="D14" s="32"/>
      <c r="E14" s="32"/>
      <c r="F14" s="32"/>
      <c r="G14" s="33"/>
      <c r="H14" s="33"/>
      <c r="I14" s="33"/>
      <c r="J14" s="33"/>
      <c r="K14" s="34"/>
      <c r="L14" s="33"/>
    </row>
    <row r="15" spans="2:12" x14ac:dyDescent="0.35">
      <c r="B15" s="28">
        <v>10</v>
      </c>
      <c r="C15" s="32"/>
      <c r="D15" s="32"/>
      <c r="E15" s="32"/>
      <c r="F15" s="32"/>
      <c r="G15" s="33"/>
      <c r="H15" s="33"/>
      <c r="I15" s="33"/>
      <c r="J15" s="33"/>
      <c r="K15" s="34"/>
      <c r="L15" s="33"/>
    </row>
  </sheetData>
  <mergeCells count="2">
    <mergeCell ref="B2:L2"/>
    <mergeCell ref="B3:L3"/>
  </mergeCells>
  <dataValidations count="1">
    <dataValidation type="list" allowBlank="1" sqref="K6:K15" xr:uid="{00000000-0002-0000-0200-000000000000}">
      <formula1>"Product,Comparator,Neutral,--"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2:L15"/>
  <sheetViews>
    <sheetView zoomScaleNormal="100" workbookViewId="0"/>
  </sheetViews>
  <sheetFormatPr defaultColWidth="8.6328125" defaultRowHeight="14.5" x14ac:dyDescent="0.35"/>
  <cols>
    <col min="1" max="1" width="3" customWidth="1"/>
    <col min="2" max="2" width="5" customWidth="1"/>
    <col min="3" max="3" width="25" customWidth="1"/>
    <col min="4" max="4" width="30" customWidth="1"/>
    <col min="5" max="7" width="12" customWidth="1"/>
    <col min="8" max="10" width="10" customWidth="1"/>
    <col min="11" max="11" width="12" customWidth="1"/>
    <col min="12" max="12" width="10" customWidth="1"/>
    <col min="13" max="13" width="3" customWidth="1"/>
  </cols>
  <sheetData>
    <row r="2" spans="2:12" ht="17.399999999999999" customHeight="1" x14ac:dyDescent="0.35">
      <c r="B2" s="9" t="s">
        <v>51</v>
      </c>
      <c r="C2" s="9"/>
      <c r="D2" s="9"/>
      <c r="E2" s="9"/>
      <c r="F2" s="9"/>
      <c r="G2" s="9"/>
      <c r="H2" s="9"/>
      <c r="I2" s="9"/>
      <c r="J2" s="9"/>
      <c r="K2" s="9"/>
      <c r="L2" s="9"/>
    </row>
    <row r="3" spans="2:12" ht="15" customHeight="1" x14ac:dyDescent="0.35">
      <c r="B3" s="8" t="s">
        <v>52</v>
      </c>
      <c r="C3" s="8"/>
      <c r="D3" s="8"/>
      <c r="E3" s="8"/>
      <c r="F3" s="8"/>
      <c r="G3" s="8"/>
      <c r="H3" s="8"/>
      <c r="I3" s="8"/>
      <c r="J3" s="8"/>
      <c r="K3" s="8"/>
      <c r="L3" s="8"/>
    </row>
    <row r="5" spans="2:12" ht="34.5" customHeight="1" x14ac:dyDescent="0.35">
      <c r="B5" s="35" t="s">
        <v>35</v>
      </c>
      <c r="C5" s="35" t="s">
        <v>53</v>
      </c>
      <c r="D5" s="35" t="s">
        <v>54</v>
      </c>
      <c r="E5" s="35" t="s">
        <v>38</v>
      </c>
      <c r="F5" s="35" t="s">
        <v>39</v>
      </c>
      <c r="G5" s="35" t="s">
        <v>40</v>
      </c>
      <c r="H5" s="35" t="s">
        <v>41</v>
      </c>
      <c r="I5" s="35" t="s">
        <v>42</v>
      </c>
      <c r="J5" s="35" t="s">
        <v>43</v>
      </c>
      <c r="K5" s="35" t="s">
        <v>44</v>
      </c>
      <c r="L5" s="35" t="s">
        <v>45</v>
      </c>
    </row>
    <row r="6" spans="2:12" x14ac:dyDescent="0.35">
      <c r="B6" s="36">
        <v>1</v>
      </c>
      <c r="C6" s="24" t="s">
        <v>55</v>
      </c>
      <c r="D6" s="24" t="s">
        <v>56</v>
      </c>
      <c r="E6" s="24" t="s">
        <v>57</v>
      </c>
      <c r="F6" s="24" t="s">
        <v>58</v>
      </c>
      <c r="G6" s="29">
        <v>1.67</v>
      </c>
      <c r="H6" s="29">
        <v>1.1000000000000001</v>
      </c>
      <c r="I6" s="29">
        <v>2.52</v>
      </c>
      <c r="J6" s="30">
        <v>1.4999999999999999E-2</v>
      </c>
      <c r="K6" s="31" t="s">
        <v>59</v>
      </c>
      <c r="L6" s="29">
        <v>0.8</v>
      </c>
    </row>
    <row r="7" spans="2:12" x14ac:dyDescent="0.35">
      <c r="B7" s="36">
        <v>2</v>
      </c>
      <c r="C7" s="32"/>
      <c r="D7" s="32"/>
      <c r="E7" s="32"/>
      <c r="F7" s="32"/>
      <c r="G7" s="33"/>
      <c r="H7" s="33"/>
      <c r="I7" s="33"/>
      <c r="J7" s="33"/>
      <c r="K7" s="34"/>
      <c r="L7" s="33"/>
    </row>
    <row r="8" spans="2:12" x14ac:dyDescent="0.35">
      <c r="B8" s="36">
        <v>3</v>
      </c>
      <c r="C8" s="32"/>
      <c r="D8" s="32"/>
      <c r="E8" s="32"/>
      <c r="F8" s="32"/>
      <c r="G8" s="33"/>
      <c r="H8" s="33"/>
      <c r="I8" s="33"/>
      <c r="J8" s="33"/>
      <c r="K8" s="34"/>
      <c r="L8" s="33"/>
    </row>
    <row r="9" spans="2:12" x14ac:dyDescent="0.35">
      <c r="B9" s="36">
        <v>4</v>
      </c>
      <c r="C9" s="32"/>
      <c r="D9" s="32"/>
      <c r="E9" s="32"/>
      <c r="F9" s="32"/>
      <c r="G9" s="33"/>
      <c r="H9" s="33"/>
      <c r="I9" s="33"/>
      <c r="J9" s="33"/>
      <c r="K9" s="34"/>
      <c r="L9" s="33"/>
    </row>
    <row r="10" spans="2:12" x14ac:dyDescent="0.35">
      <c r="B10" s="36">
        <v>5</v>
      </c>
      <c r="C10" s="32"/>
      <c r="D10" s="32"/>
      <c r="E10" s="32"/>
      <c r="F10" s="32"/>
      <c r="G10" s="33"/>
      <c r="H10" s="33"/>
      <c r="I10" s="33"/>
      <c r="J10" s="33"/>
      <c r="K10" s="34"/>
      <c r="L10" s="33"/>
    </row>
    <row r="11" spans="2:12" x14ac:dyDescent="0.35">
      <c r="B11" s="36">
        <v>6</v>
      </c>
      <c r="C11" s="32"/>
      <c r="D11" s="32"/>
      <c r="E11" s="32"/>
      <c r="F11" s="32"/>
      <c r="G11" s="33"/>
      <c r="H11" s="33"/>
      <c r="I11" s="33"/>
      <c r="J11" s="33"/>
      <c r="K11" s="34"/>
      <c r="L11" s="33"/>
    </row>
    <row r="12" spans="2:12" x14ac:dyDescent="0.35">
      <c r="B12" s="36">
        <v>7</v>
      </c>
      <c r="C12" s="32"/>
      <c r="D12" s="32"/>
      <c r="E12" s="32"/>
      <c r="F12" s="32"/>
      <c r="G12" s="33"/>
      <c r="H12" s="33"/>
      <c r="I12" s="33"/>
      <c r="J12" s="33"/>
      <c r="K12" s="34"/>
      <c r="L12" s="33"/>
    </row>
    <row r="13" spans="2:12" x14ac:dyDescent="0.35">
      <c r="B13" s="36">
        <v>8</v>
      </c>
      <c r="C13" s="32"/>
      <c r="D13" s="32"/>
      <c r="E13" s="32"/>
      <c r="F13" s="32"/>
      <c r="G13" s="33"/>
      <c r="H13" s="33"/>
      <c r="I13" s="33"/>
      <c r="J13" s="33"/>
      <c r="K13" s="34"/>
      <c r="L13" s="33"/>
    </row>
    <row r="14" spans="2:12" x14ac:dyDescent="0.35">
      <c r="B14" s="36">
        <v>9</v>
      </c>
      <c r="C14" s="32"/>
      <c r="D14" s="32"/>
      <c r="E14" s="32"/>
      <c r="F14" s="32"/>
      <c r="G14" s="33"/>
      <c r="H14" s="33"/>
      <c r="I14" s="33"/>
      <c r="J14" s="33"/>
      <c r="K14" s="34"/>
      <c r="L14" s="33"/>
    </row>
    <row r="15" spans="2:12" x14ac:dyDescent="0.35">
      <c r="B15" s="36">
        <v>10</v>
      </c>
      <c r="C15" s="32"/>
      <c r="D15" s="32"/>
      <c r="E15" s="32"/>
      <c r="F15" s="32"/>
      <c r="G15" s="33"/>
      <c r="H15" s="33"/>
      <c r="I15" s="33"/>
      <c r="J15" s="33"/>
      <c r="K15" s="34"/>
      <c r="L15" s="33"/>
    </row>
  </sheetData>
  <mergeCells count="2">
    <mergeCell ref="B2:L2"/>
    <mergeCell ref="B3:L3"/>
  </mergeCells>
  <dataValidations count="1">
    <dataValidation type="list" allowBlank="1" sqref="K6:K15" xr:uid="{00000000-0002-0000-0300-000000000000}">
      <formula1>"Product,Comparator,Neutral,--"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B2:K28"/>
  <sheetViews>
    <sheetView zoomScaleNormal="100" workbookViewId="0"/>
  </sheetViews>
  <sheetFormatPr defaultColWidth="8.6328125" defaultRowHeight="14.5" x14ac:dyDescent="0.35"/>
  <cols>
    <col min="1" max="1" width="3" customWidth="1"/>
    <col min="2" max="2" width="5" customWidth="1"/>
    <col min="3" max="3" width="8" customWidth="1"/>
    <col min="4" max="4" width="25" customWidth="1"/>
    <col min="5" max="5" width="12" customWidth="1"/>
    <col min="6" max="7" width="10" customWidth="1"/>
    <col min="8" max="9" width="12" customWidth="1"/>
    <col min="10" max="10" width="10" customWidth="1"/>
    <col min="11" max="11" width="30" customWidth="1"/>
    <col min="12" max="12" width="3" customWidth="1"/>
  </cols>
  <sheetData>
    <row r="2" spans="2:11" ht="17.399999999999999" customHeight="1" x14ac:dyDescent="0.35">
      <c r="B2" s="13" t="s">
        <v>60</v>
      </c>
      <c r="C2" s="13"/>
      <c r="D2" s="13"/>
      <c r="E2" s="13"/>
      <c r="F2" s="13"/>
      <c r="G2" s="13"/>
      <c r="H2" s="13"/>
      <c r="I2" s="13"/>
      <c r="J2" s="13"/>
      <c r="K2" s="13"/>
    </row>
    <row r="3" spans="2:11" ht="15" customHeight="1" x14ac:dyDescent="0.35">
      <c r="B3" s="7" t="s">
        <v>61</v>
      </c>
      <c r="C3" s="7"/>
      <c r="D3" s="7"/>
      <c r="E3" s="7"/>
      <c r="F3" s="7"/>
      <c r="G3" s="7"/>
      <c r="H3" s="7"/>
      <c r="I3" s="7"/>
      <c r="J3" s="7"/>
      <c r="K3" s="7"/>
    </row>
    <row r="5" spans="2:11" ht="34.5" customHeight="1" x14ac:dyDescent="0.35">
      <c r="B5" s="37" t="s">
        <v>35</v>
      </c>
      <c r="C5" s="37" t="s">
        <v>62</v>
      </c>
      <c r="D5" s="37" t="s">
        <v>36</v>
      </c>
      <c r="E5" s="37" t="s">
        <v>63</v>
      </c>
      <c r="F5" s="37" t="s">
        <v>64</v>
      </c>
      <c r="G5" s="37" t="s">
        <v>65</v>
      </c>
      <c r="H5" s="37" t="s">
        <v>66</v>
      </c>
      <c r="I5" s="37" t="s">
        <v>67</v>
      </c>
      <c r="J5" s="37" t="s">
        <v>68</v>
      </c>
      <c r="K5" s="37" t="s">
        <v>69</v>
      </c>
    </row>
    <row r="6" spans="2:11" x14ac:dyDescent="0.35">
      <c r="B6" s="38" t="s">
        <v>70</v>
      </c>
      <c r="C6" s="38" t="s">
        <v>71</v>
      </c>
      <c r="D6" s="38" t="s">
        <v>72</v>
      </c>
      <c r="E6" s="39">
        <f>'1. Settings'!C13</f>
        <v>1</v>
      </c>
      <c r="F6" s="39">
        <f>'1. Settings'!C13</f>
        <v>1</v>
      </c>
      <c r="G6" s="39">
        <f>'1. Settings'!C13</f>
        <v>1</v>
      </c>
      <c r="H6" s="40">
        <v>0</v>
      </c>
      <c r="I6" s="40">
        <v>0</v>
      </c>
      <c r="J6" s="40">
        <v>0</v>
      </c>
      <c r="K6" s="38" t="str">
        <f>"Null = " &amp; TEXT('1. Settings'!C13, "0.00")</f>
        <v>Null = 1.00</v>
      </c>
    </row>
    <row r="7" spans="2:11" ht="15" customHeight="1" x14ac:dyDescent="0.35">
      <c r="B7" s="6" t="s">
        <v>73</v>
      </c>
      <c r="C7" s="6"/>
      <c r="D7" s="6"/>
      <c r="E7" s="6"/>
      <c r="F7" s="6"/>
      <c r="G7" s="6"/>
      <c r="H7" s="6"/>
      <c r="I7" s="6"/>
      <c r="J7" s="6"/>
      <c r="K7" s="6"/>
    </row>
    <row r="8" spans="2:11" x14ac:dyDescent="0.35">
      <c r="B8" s="31">
        <v>1</v>
      </c>
      <c r="C8" s="28" t="s">
        <v>74</v>
      </c>
      <c r="D8" s="24" t="str">
        <f>IF('2. Benefits Data'!C6&lt;&gt;"", '2. Benefits Data'!C6, "")</f>
        <v>Overall Response Rate</v>
      </c>
      <c r="E8" s="29">
        <f>IF('2. Benefits Data'!G6&lt;&gt;"", '2. Benefits Data'!G6, "")</f>
        <v>1.5</v>
      </c>
      <c r="F8" s="29">
        <f>IF('2. Benefits Data'!H6&lt;&gt;"", '2. Benefits Data'!H6, "")</f>
        <v>1.1499999999999999</v>
      </c>
      <c r="G8" s="29">
        <f>IF('2. Benefits Data'!I6&lt;&gt;"", '2. Benefits Data'!I6, "")</f>
        <v>1.95</v>
      </c>
      <c r="H8" s="41">
        <f t="shared" ref="H8:H17" si="0">IF(E8&lt;&gt;"", E8-F8, "")</f>
        <v>0.35000000000000009</v>
      </c>
      <c r="I8" s="41">
        <f t="shared" ref="I8:I17" si="1">IF(E8&lt;&gt;"", G8-E8, "")</f>
        <v>0.44999999999999996</v>
      </c>
      <c r="J8" s="42">
        <f>IF(E8&lt;&gt;"", 20, "")</f>
        <v>20</v>
      </c>
      <c r="K8" s="24" t="str">
        <f t="shared" ref="K8:K17" si="2">IF(E8&lt;&gt;"", TEXT(E8,"0.00") &amp; " (" &amp; TEXT(F8,"0.00") &amp; "-" &amp; TEXT(G8,"0.00") &amp; ")", "")</f>
        <v>1.50 (1.15-1.95)</v>
      </c>
    </row>
    <row r="9" spans="2:11" x14ac:dyDescent="0.35">
      <c r="B9" s="31">
        <v>2</v>
      </c>
      <c r="C9" s="28" t="s">
        <v>74</v>
      </c>
      <c r="D9" s="24" t="str">
        <f>IF('2. Benefits Data'!C7&lt;&gt;"", '2. Benefits Data'!C7, "")</f>
        <v/>
      </c>
      <c r="E9" s="29" t="str">
        <f>IF('2. Benefits Data'!G7&lt;&gt;"", '2. Benefits Data'!G7, "")</f>
        <v/>
      </c>
      <c r="F9" s="29" t="str">
        <f>IF('2. Benefits Data'!H7&lt;&gt;"", '2. Benefits Data'!H7, "")</f>
        <v/>
      </c>
      <c r="G9" s="29" t="str">
        <f>IF('2. Benefits Data'!I7&lt;&gt;"", '2. Benefits Data'!I7, "")</f>
        <v/>
      </c>
      <c r="H9" s="41" t="str">
        <f t="shared" si="0"/>
        <v/>
      </c>
      <c r="I9" s="41" t="str">
        <f t="shared" si="1"/>
        <v/>
      </c>
      <c r="J9" s="42" t="str">
        <f>IF(E9&lt;&gt;"", 19, "")</f>
        <v/>
      </c>
      <c r="K9" s="24" t="str">
        <f t="shared" si="2"/>
        <v/>
      </c>
    </row>
    <row r="10" spans="2:11" x14ac:dyDescent="0.35">
      <c r="B10" s="31">
        <v>3</v>
      </c>
      <c r="C10" s="28" t="s">
        <v>74</v>
      </c>
      <c r="D10" s="24" t="str">
        <f>IF('2. Benefits Data'!C8&lt;&gt;"", '2. Benefits Data'!C8, "")</f>
        <v/>
      </c>
      <c r="E10" s="29" t="str">
        <f>IF('2. Benefits Data'!G8&lt;&gt;"", '2. Benefits Data'!G8, "")</f>
        <v/>
      </c>
      <c r="F10" s="29" t="str">
        <f>IF('2. Benefits Data'!H8&lt;&gt;"", '2. Benefits Data'!H8, "")</f>
        <v/>
      </c>
      <c r="G10" s="29" t="str">
        <f>IF('2. Benefits Data'!I8&lt;&gt;"", '2. Benefits Data'!I8, "")</f>
        <v/>
      </c>
      <c r="H10" s="41" t="str">
        <f t="shared" si="0"/>
        <v/>
      </c>
      <c r="I10" s="41" t="str">
        <f t="shared" si="1"/>
        <v/>
      </c>
      <c r="J10" s="42" t="str">
        <f>IF(E10&lt;&gt;"", 18, "")</f>
        <v/>
      </c>
      <c r="K10" s="24" t="str">
        <f t="shared" si="2"/>
        <v/>
      </c>
    </row>
    <row r="11" spans="2:11" x14ac:dyDescent="0.35">
      <c r="B11" s="31">
        <v>4</v>
      </c>
      <c r="C11" s="28" t="s">
        <v>74</v>
      </c>
      <c r="D11" s="24" t="str">
        <f>IF('2. Benefits Data'!C9&lt;&gt;"", '2. Benefits Data'!C9, "")</f>
        <v/>
      </c>
      <c r="E11" s="29" t="str">
        <f>IF('2. Benefits Data'!G9&lt;&gt;"", '2. Benefits Data'!G9, "")</f>
        <v/>
      </c>
      <c r="F11" s="29" t="str">
        <f>IF('2. Benefits Data'!H9&lt;&gt;"", '2. Benefits Data'!H9, "")</f>
        <v/>
      </c>
      <c r="G11" s="29" t="str">
        <f>IF('2. Benefits Data'!I9&lt;&gt;"", '2. Benefits Data'!I9, "")</f>
        <v/>
      </c>
      <c r="H11" s="41" t="str">
        <f t="shared" si="0"/>
        <v/>
      </c>
      <c r="I11" s="41" t="str">
        <f t="shared" si="1"/>
        <v/>
      </c>
      <c r="J11" s="42" t="str">
        <f>IF(E11&lt;&gt;"", 17, "")</f>
        <v/>
      </c>
      <c r="K11" s="24" t="str">
        <f t="shared" si="2"/>
        <v/>
      </c>
    </row>
    <row r="12" spans="2:11" x14ac:dyDescent="0.35">
      <c r="B12" s="31">
        <v>5</v>
      </c>
      <c r="C12" s="28" t="s">
        <v>74</v>
      </c>
      <c r="D12" s="24" t="str">
        <f>IF('2. Benefits Data'!C10&lt;&gt;"", '2. Benefits Data'!C10, "")</f>
        <v/>
      </c>
      <c r="E12" s="29" t="str">
        <f>IF('2. Benefits Data'!G10&lt;&gt;"", '2. Benefits Data'!G10, "")</f>
        <v/>
      </c>
      <c r="F12" s="29" t="str">
        <f>IF('2. Benefits Data'!H10&lt;&gt;"", '2. Benefits Data'!H10, "")</f>
        <v/>
      </c>
      <c r="G12" s="29" t="str">
        <f>IF('2. Benefits Data'!I10&lt;&gt;"", '2. Benefits Data'!I10, "")</f>
        <v/>
      </c>
      <c r="H12" s="41" t="str">
        <f t="shared" si="0"/>
        <v/>
      </c>
      <c r="I12" s="41" t="str">
        <f t="shared" si="1"/>
        <v/>
      </c>
      <c r="J12" s="42" t="str">
        <f>IF(E12&lt;&gt;"", 16, "")</f>
        <v/>
      </c>
      <c r="K12" s="24" t="str">
        <f t="shared" si="2"/>
        <v/>
      </c>
    </row>
    <row r="13" spans="2:11" x14ac:dyDescent="0.35">
      <c r="B13" s="31">
        <v>6</v>
      </c>
      <c r="C13" s="28" t="s">
        <v>74</v>
      </c>
      <c r="D13" s="24" t="str">
        <f>IF('2. Benefits Data'!C11&lt;&gt;"", '2. Benefits Data'!C11, "")</f>
        <v/>
      </c>
      <c r="E13" s="29" t="str">
        <f>IF('2. Benefits Data'!G11&lt;&gt;"", '2. Benefits Data'!G11, "")</f>
        <v/>
      </c>
      <c r="F13" s="29" t="str">
        <f>IF('2. Benefits Data'!H11&lt;&gt;"", '2. Benefits Data'!H11, "")</f>
        <v/>
      </c>
      <c r="G13" s="29" t="str">
        <f>IF('2. Benefits Data'!I11&lt;&gt;"", '2. Benefits Data'!I11, "")</f>
        <v/>
      </c>
      <c r="H13" s="41" t="str">
        <f t="shared" si="0"/>
        <v/>
      </c>
      <c r="I13" s="41" t="str">
        <f t="shared" si="1"/>
        <v/>
      </c>
      <c r="J13" s="42" t="str">
        <f>IF(E13&lt;&gt;"", 15, "")</f>
        <v/>
      </c>
      <c r="K13" s="24" t="str">
        <f t="shared" si="2"/>
        <v/>
      </c>
    </row>
    <row r="14" spans="2:11" x14ac:dyDescent="0.35">
      <c r="B14" s="31">
        <v>7</v>
      </c>
      <c r="C14" s="28" t="s">
        <v>74</v>
      </c>
      <c r="D14" s="24" t="str">
        <f>IF('2. Benefits Data'!C12&lt;&gt;"", '2. Benefits Data'!C12, "")</f>
        <v/>
      </c>
      <c r="E14" s="29" t="str">
        <f>IF('2. Benefits Data'!G12&lt;&gt;"", '2. Benefits Data'!G12, "")</f>
        <v/>
      </c>
      <c r="F14" s="29" t="str">
        <f>IF('2. Benefits Data'!H12&lt;&gt;"", '2. Benefits Data'!H12, "")</f>
        <v/>
      </c>
      <c r="G14" s="29" t="str">
        <f>IF('2. Benefits Data'!I12&lt;&gt;"", '2. Benefits Data'!I12, "")</f>
        <v/>
      </c>
      <c r="H14" s="41" t="str">
        <f t="shared" si="0"/>
        <v/>
      </c>
      <c r="I14" s="41" t="str">
        <f t="shared" si="1"/>
        <v/>
      </c>
      <c r="J14" s="42" t="str">
        <f>IF(E14&lt;&gt;"", 14, "")</f>
        <v/>
      </c>
      <c r="K14" s="24" t="str">
        <f t="shared" si="2"/>
        <v/>
      </c>
    </row>
    <row r="15" spans="2:11" x14ac:dyDescent="0.35">
      <c r="B15" s="31">
        <v>8</v>
      </c>
      <c r="C15" s="28" t="s">
        <v>74</v>
      </c>
      <c r="D15" s="24" t="str">
        <f>IF('2. Benefits Data'!C13&lt;&gt;"", '2. Benefits Data'!C13, "")</f>
        <v/>
      </c>
      <c r="E15" s="29" t="str">
        <f>IF('2. Benefits Data'!G13&lt;&gt;"", '2. Benefits Data'!G13, "")</f>
        <v/>
      </c>
      <c r="F15" s="29" t="str">
        <f>IF('2. Benefits Data'!H13&lt;&gt;"", '2. Benefits Data'!H13, "")</f>
        <v/>
      </c>
      <c r="G15" s="29" t="str">
        <f>IF('2. Benefits Data'!I13&lt;&gt;"", '2. Benefits Data'!I13, "")</f>
        <v/>
      </c>
      <c r="H15" s="41" t="str">
        <f t="shared" si="0"/>
        <v/>
      </c>
      <c r="I15" s="41" t="str">
        <f t="shared" si="1"/>
        <v/>
      </c>
      <c r="J15" s="42" t="str">
        <f>IF(E15&lt;&gt;"", 13, "")</f>
        <v/>
      </c>
      <c r="K15" s="24" t="str">
        <f t="shared" si="2"/>
        <v/>
      </c>
    </row>
    <row r="16" spans="2:11" x14ac:dyDescent="0.35">
      <c r="B16" s="31">
        <v>9</v>
      </c>
      <c r="C16" s="28" t="s">
        <v>74</v>
      </c>
      <c r="D16" s="24" t="str">
        <f>IF('2. Benefits Data'!C14&lt;&gt;"", '2. Benefits Data'!C14, "")</f>
        <v/>
      </c>
      <c r="E16" s="29" t="str">
        <f>IF('2. Benefits Data'!G14&lt;&gt;"", '2. Benefits Data'!G14, "")</f>
        <v/>
      </c>
      <c r="F16" s="29" t="str">
        <f>IF('2. Benefits Data'!H14&lt;&gt;"", '2. Benefits Data'!H14, "")</f>
        <v/>
      </c>
      <c r="G16" s="29" t="str">
        <f>IF('2. Benefits Data'!I14&lt;&gt;"", '2. Benefits Data'!I14, "")</f>
        <v/>
      </c>
      <c r="H16" s="41" t="str">
        <f t="shared" si="0"/>
        <v/>
      </c>
      <c r="I16" s="41" t="str">
        <f t="shared" si="1"/>
        <v/>
      </c>
      <c r="J16" s="42" t="str">
        <f>IF(E16&lt;&gt;"", 12, "")</f>
        <v/>
      </c>
      <c r="K16" s="24" t="str">
        <f t="shared" si="2"/>
        <v/>
      </c>
    </row>
    <row r="17" spans="2:11" x14ac:dyDescent="0.35">
      <c r="B17" s="31">
        <v>10</v>
      </c>
      <c r="C17" s="28" t="s">
        <v>74</v>
      </c>
      <c r="D17" s="24" t="str">
        <f>IF('2. Benefits Data'!C15&lt;&gt;"", '2. Benefits Data'!C15, "")</f>
        <v/>
      </c>
      <c r="E17" s="29" t="str">
        <f>IF('2. Benefits Data'!G15&lt;&gt;"", '2. Benefits Data'!G15, "")</f>
        <v/>
      </c>
      <c r="F17" s="29" t="str">
        <f>IF('2. Benefits Data'!H15&lt;&gt;"", '2. Benefits Data'!H15, "")</f>
        <v/>
      </c>
      <c r="G17" s="29" t="str">
        <f>IF('2. Benefits Data'!I15&lt;&gt;"", '2. Benefits Data'!I15, "")</f>
        <v/>
      </c>
      <c r="H17" s="41" t="str">
        <f t="shared" si="0"/>
        <v/>
      </c>
      <c r="I17" s="41" t="str">
        <f t="shared" si="1"/>
        <v/>
      </c>
      <c r="J17" s="42" t="str">
        <f>IF(E17&lt;&gt;"", 11, "")</f>
        <v/>
      </c>
      <c r="K17" s="24" t="str">
        <f t="shared" si="2"/>
        <v/>
      </c>
    </row>
    <row r="18" spans="2:11" ht="15" customHeight="1" x14ac:dyDescent="0.35">
      <c r="B18" s="5" t="s">
        <v>75</v>
      </c>
      <c r="C18" s="5"/>
      <c r="D18" s="5"/>
      <c r="E18" s="5"/>
      <c r="F18" s="5"/>
      <c r="G18" s="5"/>
      <c r="H18" s="5"/>
      <c r="I18" s="5"/>
      <c r="J18" s="5"/>
      <c r="K18" s="5"/>
    </row>
    <row r="19" spans="2:11" x14ac:dyDescent="0.35">
      <c r="B19" s="31">
        <v>1</v>
      </c>
      <c r="C19" s="43" t="s">
        <v>76</v>
      </c>
      <c r="D19" s="24" t="str">
        <f>IF('3. Risks Data'!C6&lt;&gt;"", '3. Risks Data'!C6, "")</f>
        <v>Grade 3+ Neutropenia</v>
      </c>
      <c r="E19" s="29">
        <f>IF('3. Risks Data'!G6&lt;&gt;"", '3. Risks Data'!G6, "")</f>
        <v>1.67</v>
      </c>
      <c r="F19" s="29">
        <f>IF('3. Risks Data'!H6&lt;&gt;"", '3. Risks Data'!H6, "")</f>
        <v>1.1000000000000001</v>
      </c>
      <c r="G19" s="29">
        <f>IF('3. Risks Data'!I6&lt;&gt;"", '3. Risks Data'!I6, "")</f>
        <v>2.52</v>
      </c>
      <c r="H19" s="41">
        <f t="shared" ref="H19:H28" si="3">IF(E19&lt;&gt;"", E19-F19, "")</f>
        <v>0.56999999999999984</v>
      </c>
      <c r="I19" s="41">
        <f t="shared" ref="I19:I28" si="4">IF(E19&lt;&gt;"", G19-E19, "")</f>
        <v>0.85000000000000009</v>
      </c>
      <c r="J19" s="42">
        <f>IF(E19&lt;&gt;"", 9, "")</f>
        <v>9</v>
      </c>
      <c r="K19" s="24" t="str">
        <f t="shared" ref="K19:K28" si="5">IF(E19&lt;&gt;"", TEXT(E19,"0.00") &amp; " (" &amp; TEXT(F19,"0.00") &amp; "-" &amp; TEXT(G19,"0.00") &amp; ")", "")</f>
        <v>1.67 (1.10-2.52)</v>
      </c>
    </row>
    <row r="20" spans="2:11" x14ac:dyDescent="0.35">
      <c r="B20" s="31">
        <v>2</v>
      </c>
      <c r="C20" s="43" t="s">
        <v>76</v>
      </c>
      <c r="D20" s="24" t="str">
        <f>IF('3. Risks Data'!C7&lt;&gt;"", '3. Risks Data'!C7, "")</f>
        <v/>
      </c>
      <c r="E20" s="29" t="str">
        <f>IF('3. Risks Data'!G7&lt;&gt;"", '3. Risks Data'!G7, "")</f>
        <v/>
      </c>
      <c r="F20" s="29" t="str">
        <f>IF('3. Risks Data'!H7&lt;&gt;"", '3. Risks Data'!H7, "")</f>
        <v/>
      </c>
      <c r="G20" s="29" t="str">
        <f>IF('3. Risks Data'!I7&lt;&gt;"", '3. Risks Data'!I7, "")</f>
        <v/>
      </c>
      <c r="H20" s="41" t="str">
        <f t="shared" si="3"/>
        <v/>
      </c>
      <c r="I20" s="41" t="str">
        <f t="shared" si="4"/>
        <v/>
      </c>
      <c r="J20" s="42" t="str">
        <f>IF(E20&lt;&gt;"", 8, "")</f>
        <v/>
      </c>
      <c r="K20" s="24" t="str">
        <f t="shared" si="5"/>
        <v/>
      </c>
    </row>
    <row r="21" spans="2:11" x14ac:dyDescent="0.35">
      <c r="B21" s="31">
        <v>3</v>
      </c>
      <c r="C21" s="43" t="s">
        <v>76</v>
      </c>
      <c r="D21" s="24" t="str">
        <f>IF('3. Risks Data'!C8&lt;&gt;"", '3. Risks Data'!C8, "")</f>
        <v/>
      </c>
      <c r="E21" s="29" t="str">
        <f>IF('3. Risks Data'!G8&lt;&gt;"", '3. Risks Data'!G8, "")</f>
        <v/>
      </c>
      <c r="F21" s="29" t="str">
        <f>IF('3. Risks Data'!H8&lt;&gt;"", '3. Risks Data'!H8, "")</f>
        <v/>
      </c>
      <c r="G21" s="29" t="str">
        <f>IF('3. Risks Data'!I8&lt;&gt;"", '3. Risks Data'!I8, "")</f>
        <v/>
      </c>
      <c r="H21" s="41" t="str">
        <f t="shared" si="3"/>
        <v/>
      </c>
      <c r="I21" s="41" t="str">
        <f t="shared" si="4"/>
        <v/>
      </c>
      <c r="J21" s="42" t="str">
        <f>IF(E21&lt;&gt;"", 7, "")</f>
        <v/>
      </c>
      <c r="K21" s="24" t="str">
        <f t="shared" si="5"/>
        <v/>
      </c>
    </row>
    <row r="22" spans="2:11" x14ac:dyDescent="0.35">
      <c r="B22" s="31">
        <v>4</v>
      </c>
      <c r="C22" s="43" t="s">
        <v>76</v>
      </c>
      <c r="D22" s="24" t="str">
        <f>IF('3. Risks Data'!C9&lt;&gt;"", '3. Risks Data'!C9, "")</f>
        <v/>
      </c>
      <c r="E22" s="29" t="str">
        <f>IF('3. Risks Data'!G9&lt;&gt;"", '3. Risks Data'!G9, "")</f>
        <v/>
      </c>
      <c r="F22" s="29" t="str">
        <f>IF('3. Risks Data'!H9&lt;&gt;"", '3. Risks Data'!H9, "")</f>
        <v/>
      </c>
      <c r="G22" s="29" t="str">
        <f>IF('3. Risks Data'!I9&lt;&gt;"", '3. Risks Data'!I9, "")</f>
        <v/>
      </c>
      <c r="H22" s="41" t="str">
        <f t="shared" si="3"/>
        <v/>
      </c>
      <c r="I22" s="41" t="str">
        <f t="shared" si="4"/>
        <v/>
      </c>
      <c r="J22" s="42" t="str">
        <f>IF(E22&lt;&gt;"", 6, "")</f>
        <v/>
      </c>
      <c r="K22" s="24" t="str">
        <f t="shared" si="5"/>
        <v/>
      </c>
    </row>
    <row r="23" spans="2:11" x14ac:dyDescent="0.35">
      <c r="B23" s="31">
        <v>5</v>
      </c>
      <c r="C23" s="43" t="s">
        <v>76</v>
      </c>
      <c r="D23" s="24" t="str">
        <f>IF('3. Risks Data'!C10&lt;&gt;"", '3. Risks Data'!C10, "")</f>
        <v/>
      </c>
      <c r="E23" s="29" t="str">
        <f>IF('3. Risks Data'!G10&lt;&gt;"", '3. Risks Data'!G10, "")</f>
        <v/>
      </c>
      <c r="F23" s="29" t="str">
        <f>IF('3. Risks Data'!H10&lt;&gt;"", '3. Risks Data'!H10, "")</f>
        <v/>
      </c>
      <c r="G23" s="29" t="str">
        <f>IF('3. Risks Data'!I10&lt;&gt;"", '3. Risks Data'!I10, "")</f>
        <v/>
      </c>
      <c r="H23" s="41" t="str">
        <f t="shared" si="3"/>
        <v/>
      </c>
      <c r="I23" s="41" t="str">
        <f t="shared" si="4"/>
        <v/>
      </c>
      <c r="J23" s="42" t="str">
        <f>IF(E23&lt;&gt;"", 5, "")</f>
        <v/>
      </c>
      <c r="K23" s="24" t="str">
        <f t="shared" si="5"/>
        <v/>
      </c>
    </row>
    <row r="24" spans="2:11" x14ac:dyDescent="0.35">
      <c r="B24" s="31">
        <v>6</v>
      </c>
      <c r="C24" s="43" t="s">
        <v>76</v>
      </c>
      <c r="D24" s="24" t="str">
        <f>IF('3. Risks Data'!C11&lt;&gt;"", '3. Risks Data'!C11, "")</f>
        <v/>
      </c>
      <c r="E24" s="29" t="str">
        <f>IF('3. Risks Data'!G11&lt;&gt;"", '3. Risks Data'!G11, "")</f>
        <v/>
      </c>
      <c r="F24" s="29" t="str">
        <f>IF('3. Risks Data'!H11&lt;&gt;"", '3. Risks Data'!H11, "")</f>
        <v/>
      </c>
      <c r="G24" s="29" t="str">
        <f>IF('3. Risks Data'!I11&lt;&gt;"", '3. Risks Data'!I11, "")</f>
        <v/>
      </c>
      <c r="H24" s="41" t="str">
        <f t="shared" si="3"/>
        <v/>
      </c>
      <c r="I24" s="41" t="str">
        <f t="shared" si="4"/>
        <v/>
      </c>
      <c r="J24" s="42" t="str">
        <f>IF(E24&lt;&gt;"", 4, "")</f>
        <v/>
      </c>
      <c r="K24" s="24" t="str">
        <f t="shared" si="5"/>
        <v/>
      </c>
    </row>
    <row r="25" spans="2:11" x14ac:dyDescent="0.35">
      <c r="B25" s="31">
        <v>7</v>
      </c>
      <c r="C25" s="43" t="s">
        <v>76</v>
      </c>
      <c r="D25" s="24" t="str">
        <f>IF('3. Risks Data'!C12&lt;&gt;"", '3. Risks Data'!C12, "")</f>
        <v/>
      </c>
      <c r="E25" s="29" t="str">
        <f>IF('3. Risks Data'!G12&lt;&gt;"", '3. Risks Data'!G12, "")</f>
        <v/>
      </c>
      <c r="F25" s="29" t="str">
        <f>IF('3. Risks Data'!H12&lt;&gt;"", '3. Risks Data'!H12, "")</f>
        <v/>
      </c>
      <c r="G25" s="29" t="str">
        <f>IF('3. Risks Data'!I12&lt;&gt;"", '3. Risks Data'!I12, "")</f>
        <v/>
      </c>
      <c r="H25" s="41" t="str">
        <f t="shared" si="3"/>
        <v/>
      </c>
      <c r="I25" s="41" t="str">
        <f t="shared" si="4"/>
        <v/>
      </c>
      <c r="J25" s="42" t="str">
        <f>IF(E25&lt;&gt;"", 3, "")</f>
        <v/>
      </c>
      <c r="K25" s="24" t="str">
        <f t="shared" si="5"/>
        <v/>
      </c>
    </row>
    <row r="26" spans="2:11" x14ac:dyDescent="0.35">
      <c r="B26" s="31">
        <v>8</v>
      </c>
      <c r="C26" s="43" t="s">
        <v>76</v>
      </c>
      <c r="D26" s="24" t="str">
        <f>IF('3. Risks Data'!C13&lt;&gt;"", '3. Risks Data'!C13, "")</f>
        <v/>
      </c>
      <c r="E26" s="29" t="str">
        <f>IF('3. Risks Data'!G13&lt;&gt;"", '3. Risks Data'!G13, "")</f>
        <v/>
      </c>
      <c r="F26" s="29" t="str">
        <f>IF('3. Risks Data'!H13&lt;&gt;"", '3. Risks Data'!H13, "")</f>
        <v/>
      </c>
      <c r="G26" s="29" t="str">
        <f>IF('3. Risks Data'!I13&lt;&gt;"", '3. Risks Data'!I13, "")</f>
        <v/>
      </c>
      <c r="H26" s="41" t="str">
        <f t="shared" si="3"/>
        <v/>
      </c>
      <c r="I26" s="41" t="str">
        <f t="shared" si="4"/>
        <v/>
      </c>
      <c r="J26" s="42" t="str">
        <f>IF(E26&lt;&gt;"", 2, "")</f>
        <v/>
      </c>
      <c r="K26" s="24" t="str">
        <f t="shared" si="5"/>
        <v/>
      </c>
    </row>
    <row r="27" spans="2:11" x14ac:dyDescent="0.35">
      <c r="B27" s="31">
        <v>9</v>
      </c>
      <c r="C27" s="43" t="s">
        <v>76</v>
      </c>
      <c r="D27" s="24" t="str">
        <f>IF('3. Risks Data'!C14&lt;&gt;"", '3. Risks Data'!C14, "")</f>
        <v/>
      </c>
      <c r="E27" s="29" t="str">
        <f>IF('3. Risks Data'!G14&lt;&gt;"", '3. Risks Data'!G14, "")</f>
        <v/>
      </c>
      <c r="F27" s="29" t="str">
        <f>IF('3. Risks Data'!H14&lt;&gt;"", '3. Risks Data'!H14, "")</f>
        <v/>
      </c>
      <c r="G27" s="29" t="str">
        <f>IF('3. Risks Data'!I14&lt;&gt;"", '3. Risks Data'!I14, "")</f>
        <v/>
      </c>
      <c r="H27" s="41" t="str">
        <f t="shared" si="3"/>
        <v/>
      </c>
      <c r="I27" s="41" t="str">
        <f t="shared" si="4"/>
        <v/>
      </c>
      <c r="J27" s="42" t="str">
        <f>IF(E27&lt;&gt;"", 1, "")</f>
        <v/>
      </c>
      <c r="K27" s="24" t="str">
        <f t="shared" si="5"/>
        <v/>
      </c>
    </row>
    <row r="28" spans="2:11" x14ac:dyDescent="0.35">
      <c r="B28" s="31">
        <v>10</v>
      </c>
      <c r="C28" s="43" t="s">
        <v>76</v>
      </c>
      <c r="D28" s="24" t="str">
        <f>IF('3. Risks Data'!C15&lt;&gt;"", '3. Risks Data'!C15, "")</f>
        <v/>
      </c>
      <c r="E28" s="29" t="str">
        <f>IF('3. Risks Data'!G15&lt;&gt;"", '3. Risks Data'!G15, "")</f>
        <v/>
      </c>
      <c r="F28" s="29" t="str">
        <f>IF('3. Risks Data'!H15&lt;&gt;"", '3. Risks Data'!H15, "")</f>
        <v/>
      </c>
      <c r="G28" s="29" t="str">
        <f>IF('3. Risks Data'!I15&lt;&gt;"", '3. Risks Data'!I15, "")</f>
        <v/>
      </c>
      <c r="H28" s="41" t="str">
        <f t="shared" si="3"/>
        <v/>
      </c>
      <c r="I28" s="41" t="str">
        <f t="shared" si="4"/>
        <v/>
      </c>
      <c r="J28" s="42" t="str">
        <f>IF(E28&lt;&gt;"", 0, "")</f>
        <v/>
      </c>
      <c r="K28" s="24" t="str">
        <f t="shared" si="5"/>
        <v/>
      </c>
    </row>
  </sheetData>
  <mergeCells count="4">
    <mergeCell ref="B2:K2"/>
    <mergeCell ref="B3:K3"/>
    <mergeCell ref="B7:K7"/>
    <mergeCell ref="B18:K18"/>
  </mergeCells>
  <pageMargins left="0.75" right="0.75" top="1" bottom="1" header="0.511811023622047" footer="0.511811023622047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B2:H28"/>
  <sheetViews>
    <sheetView zoomScaleNormal="100" workbookViewId="0"/>
  </sheetViews>
  <sheetFormatPr defaultColWidth="8.6328125" defaultRowHeight="14.5" x14ac:dyDescent="0.35"/>
  <cols>
    <col min="1" max="1" width="3" customWidth="1"/>
    <col min="2" max="2" width="8" customWidth="1"/>
    <col min="3" max="3" width="25" customWidth="1"/>
    <col min="4" max="5" width="15" customWidth="1"/>
    <col min="6" max="6" width="12" customWidth="1"/>
    <col min="7" max="7" width="18" customWidth="1"/>
    <col min="8" max="8" width="12" customWidth="1"/>
    <col min="9" max="9" width="3" customWidth="1"/>
  </cols>
  <sheetData>
    <row r="2" spans="2:8" ht="17.399999999999999" customHeight="1" x14ac:dyDescent="0.35">
      <c r="B2" s="13" t="s">
        <v>77</v>
      </c>
      <c r="C2" s="13"/>
      <c r="D2" s="13"/>
      <c r="E2" s="13"/>
      <c r="F2" s="13"/>
      <c r="G2" s="13"/>
      <c r="H2" s="13"/>
    </row>
    <row r="3" spans="2:8" ht="15.5" x14ac:dyDescent="0.35">
      <c r="B3" s="4" t="str">
        <f>IF('1. Settings'!C5&lt;&gt;"Enter product INN", '1. Settings'!C5 &amp; " vs " &amp; '1. Settings'!C6 &amp; " | " &amp; '1. Settings'!C7, "[Configure Settings]")</f>
        <v>[Configure Settings]</v>
      </c>
      <c r="C3" s="4"/>
      <c r="D3" s="4"/>
      <c r="E3" s="4"/>
      <c r="F3" s="4"/>
      <c r="G3" s="4"/>
      <c r="H3" s="4"/>
    </row>
    <row r="5" spans="2:8" x14ac:dyDescent="0.35">
      <c r="B5" s="37" t="s">
        <v>62</v>
      </c>
      <c r="C5" s="37" t="s">
        <v>36</v>
      </c>
      <c r="D5" s="37" t="s">
        <v>50</v>
      </c>
      <c r="E5" s="37" t="s">
        <v>59</v>
      </c>
      <c r="F5" s="37" t="s">
        <v>63</v>
      </c>
      <c r="G5" s="37" t="s">
        <v>78</v>
      </c>
      <c r="H5" s="37" t="s">
        <v>44</v>
      </c>
    </row>
    <row r="6" spans="2:8" ht="15" customHeight="1" x14ac:dyDescent="0.35">
      <c r="B6" s="6" t="s">
        <v>79</v>
      </c>
      <c r="C6" s="6"/>
      <c r="D6" s="6"/>
      <c r="E6" s="6"/>
      <c r="F6" s="6"/>
      <c r="G6" s="6"/>
      <c r="H6" s="6"/>
    </row>
    <row r="7" spans="2:8" x14ac:dyDescent="0.35">
      <c r="B7" s="44" t="s">
        <v>80</v>
      </c>
      <c r="C7" s="24" t="str">
        <f>IF('2. Benefits Data'!C6&lt;&gt;"", '2. Benefits Data'!C6, "")</f>
        <v>Overall Response Rate</v>
      </c>
      <c r="D7" s="31" t="str">
        <f>IF('2. Benefits Data'!E6&lt;&gt;"", '2. Benefits Data'!E6, "")</f>
        <v>45/100 (45%)</v>
      </c>
      <c r="E7" s="31" t="str">
        <f>IF('2. Benefits Data'!F6&lt;&gt;"", '2. Benefits Data'!F6, "")</f>
        <v>30/100 (30%)</v>
      </c>
      <c r="F7" s="31" t="str">
        <f>IF('2. Benefits Data'!G6&lt;&gt;"", TEXT('2. Benefits Data'!G6, "0.00"), "")</f>
        <v>1.50</v>
      </c>
      <c r="G7" s="31" t="str">
        <f>IF('2. Benefits Data'!H6&lt;&gt;"", TEXT('2. Benefits Data'!H6, "0.00") &amp; " - " &amp; TEXT('2. Benefits Data'!I6, "0.00"), "")</f>
        <v>1.15 - 1.95</v>
      </c>
      <c r="H7" s="31" t="str">
        <f>IF('2. Benefits Data'!K6&lt;&gt;"", '2. Benefits Data'!K6, "")</f>
        <v>Product</v>
      </c>
    </row>
    <row r="8" spans="2:8" x14ac:dyDescent="0.35">
      <c r="B8" s="44" t="s">
        <v>80</v>
      </c>
      <c r="C8" s="24" t="str">
        <f>IF('2. Benefits Data'!C7&lt;&gt;"", '2. Benefits Data'!C7, "")</f>
        <v/>
      </c>
      <c r="D8" s="31" t="str">
        <f>IF('2. Benefits Data'!E7&lt;&gt;"", '2. Benefits Data'!E7, "")</f>
        <v/>
      </c>
      <c r="E8" s="31" t="str">
        <f>IF('2. Benefits Data'!F7&lt;&gt;"", '2. Benefits Data'!F7, "")</f>
        <v/>
      </c>
      <c r="F8" s="31" t="str">
        <f>IF('2. Benefits Data'!G7&lt;&gt;"", TEXT('2. Benefits Data'!G7, "0.00"), "")</f>
        <v/>
      </c>
      <c r="G8" s="31" t="str">
        <f>IF('2. Benefits Data'!H7&lt;&gt;"", TEXT('2. Benefits Data'!H7, "0.00") &amp; " - " &amp; TEXT('2. Benefits Data'!I7, "0.00"), "")</f>
        <v/>
      </c>
      <c r="H8" s="31" t="str">
        <f>IF('2. Benefits Data'!K7&lt;&gt;"", '2. Benefits Data'!K7, "")</f>
        <v/>
      </c>
    </row>
    <row r="9" spans="2:8" x14ac:dyDescent="0.35">
      <c r="B9" s="44" t="s">
        <v>80</v>
      </c>
      <c r="C9" s="24" t="str">
        <f>IF('2. Benefits Data'!C8&lt;&gt;"", '2. Benefits Data'!C8, "")</f>
        <v/>
      </c>
      <c r="D9" s="31" t="str">
        <f>IF('2. Benefits Data'!E8&lt;&gt;"", '2. Benefits Data'!E8, "")</f>
        <v/>
      </c>
      <c r="E9" s="31" t="str">
        <f>IF('2. Benefits Data'!F8&lt;&gt;"", '2. Benefits Data'!F8, "")</f>
        <v/>
      </c>
      <c r="F9" s="31" t="str">
        <f>IF('2. Benefits Data'!G8&lt;&gt;"", TEXT('2. Benefits Data'!G8, "0.00"), "")</f>
        <v/>
      </c>
      <c r="G9" s="31" t="str">
        <f>IF('2. Benefits Data'!H8&lt;&gt;"", TEXT('2. Benefits Data'!H8, "0.00") &amp; " - " &amp; TEXT('2. Benefits Data'!I8, "0.00"), "")</f>
        <v/>
      </c>
      <c r="H9" s="31" t="str">
        <f>IF('2. Benefits Data'!K8&lt;&gt;"", '2. Benefits Data'!K8, "")</f>
        <v/>
      </c>
    </row>
    <row r="10" spans="2:8" x14ac:dyDescent="0.35">
      <c r="B10" s="44" t="s">
        <v>80</v>
      </c>
      <c r="C10" s="24" t="str">
        <f>IF('2. Benefits Data'!C9&lt;&gt;"", '2. Benefits Data'!C9, "")</f>
        <v/>
      </c>
      <c r="D10" s="31" t="str">
        <f>IF('2. Benefits Data'!E9&lt;&gt;"", '2. Benefits Data'!E9, "")</f>
        <v/>
      </c>
      <c r="E10" s="31" t="str">
        <f>IF('2. Benefits Data'!F9&lt;&gt;"", '2. Benefits Data'!F9, "")</f>
        <v/>
      </c>
      <c r="F10" s="31" t="str">
        <f>IF('2. Benefits Data'!G9&lt;&gt;"", TEXT('2. Benefits Data'!G9, "0.00"), "")</f>
        <v/>
      </c>
      <c r="G10" s="31" t="str">
        <f>IF('2. Benefits Data'!H9&lt;&gt;"", TEXT('2. Benefits Data'!H9, "0.00") &amp; " - " &amp; TEXT('2. Benefits Data'!I9, "0.00"), "")</f>
        <v/>
      </c>
      <c r="H10" s="31" t="str">
        <f>IF('2. Benefits Data'!K9&lt;&gt;"", '2. Benefits Data'!K9, "")</f>
        <v/>
      </c>
    </row>
    <row r="11" spans="2:8" x14ac:dyDescent="0.35">
      <c r="B11" s="44" t="s">
        <v>80</v>
      </c>
      <c r="C11" s="24" t="str">
        <f>IF('2. Benefits Data'!C10&lt;&gt;"", '2. Benefits Data'!C10, "")</f>
        <v/>
      </c>
      <c r="D11" s="31" t="str">
        <f>IF('2. Benefits Data'!E10&lt;&gt;"", '2. Benefits Data'!E10, "")</f>
        <v/>
      </c>
      <c r="E11" s="31" t="str">
        <f>IF('2. Benefits Data'!F10&lt;&gt;"", '2. Benefits Data'!F10, "")</f>
        <v/>
      </c>
      <c r="F11" s="31" t="str">
        <f>IF('2. Benefits Data'!G10&lt;&gt;"", TEXT('2. Benefits Data'!G10, "0.00"), "")</f>
        <v/>
      </c>
      <c r="G11" s="31" t="str">
        <f>IF('2. Benefits Data'!H10&lt;&gt;"", TEXT('2. Benefits Data'!H10, "0.00") &amp; " - " &amp; TEXT('2. Benefits Data'!I10, "0.00"), "")</f>
        <v/>
      </c>
      <c r="H11" s="31" t="str">
        <f>IF('2. Benefits Data'!K10&lt;&gt;"", '2. Benefits Data'!K10, "")</f>
        <v/>
      </c>
    </row>
    <row r="12" spans="2:8" x14ac:dyDescent="0.35">
      <c r="B12" s="44" t="s">
        <v>80</v>
      </c>
      <c r="C12" s="24" t="str">
        <f>IF('2. Benefits Data'!C11&lt;&gt;"", '2. Benefits Data'!C11, "")</f>
        <v/>
      </c>
      <c r="D12" s="31" t="str">
        <f>IF('2. Benefits Data'!E11&lt;&gt;"", '2. Benefits Data'!E11, "")</f>
        <v/>
      </c>
      <c r="E12" s="31" t="str">
        <f>IF('2. Benefits Data'!F11&lt;&gt;"", '2. Benefits Data'!F11, "")</f>
        <v/>
      </c>
      <c r="F12" s="31" t="str">
        <f>IF('2. Benefits Data'!G11&lt;&gt;"", TEXT('2. Benefits Data'!G11, "0.00"), "")</f>
        <v/>
      </c>
      <c r="G12" s="31" t="str">
        <f>IF('2. Benefits Data'!H11&lt;&gt;"", TEXT('2. Benefits Data'!H11, "0.00") &amp; " - " &amp; TEXT('2. Benefits Data'!I11, "0.00"), "")</f>
        <v/>
      </c>
      <c r="H12" s="31" t="str">
        <f>IF('2. Benefits Data'!K11&lt;&gt;"", '2. Benefits Data'!K11, "")</f>
        <v/>
      </c>
    </row>
    <row r="13" spans="2:8" x14ac:dyDescent="0.35">
      <c r="B13" s="44" t="s">
        <v>80</v>
      </c>
      <c r="C13" s="24" t="str">
        <f>IF('2. Benefits Data'!C12&lt;&gt;"", '2. Benefits Data'!C12, "")</f>
        <v/>
      </c>
      <c r="D13" s="31" t="str">
        <f>IF('2. Benefits Data'!E12&lt;&gt;"", '2. Benefits Data'!E12, "")</f>
        <v/>
      </c>
      <c r="E13" s="31" t="str">
        <f>IF('2. Benefits Data'!F12&lt;&gt;"", '2. Benefits Data'!F12, "")</f>
        <v/>
      </c>
      <c r="F13" s="31" t="str">
        <f>IF('2. Benefits Data'!G12&lt;&gt;"", TEXT('2. Benefits Data'!G12, "0.00"), "")</f>
        <v/>
      </c>
      <c r="G13" s="31" t="str">
        <f>IF('2. Benefits Data'!H12&lt;&gt;"", TEXT('2. Benefits Data'!H12, "0.00") &amp; " - " &amp; TEXT('2. Benefits Data'!I12, "0.00"), "")</f>
        <v/>
      </c>
      <c r="H13" s="31" t="str">
        <f>IF('2. Benefits Data'!K12&lt;&gt;"", '2. Benefits Data'!K12, "")</f>
        <v/>
      </c>
    </row>
    <row r="14" spans="2:8" x14ac:dyDescent="0.35">
      <c r="B14" s="44" t="s">
        <v>80</v>
      </c>
      <c r="C14" s="24" t="str">
        <f>IF('2. Benefits Data'!C13&lt;&gt;"", '2. Benefits Data'!C13, "")</f>
        <v/>
      </c>
      <c r="D14" s="31" t="str">
        <f>IF('2. Benefits Data'!E13&lt;&gt;"", '2. Benefits Data'!E13, "")</f>
        <v/>
      </c>
      <c r="E14" s="31" t="str">
        <f>IF('2. Benefits Data'!F13&lt;&gt;"", '2. Benefits Data'!F13, "")</f>
        <v/>
      </c>
      <c r="F14" s="31" t="str">
        <f>IF('2. Benefits Data'!G13&lt;&gt;"", TEXT('2. Benefits Data'!G13, "0.00"), "")</f>
        <v/>
      </c>
      <c r="G14" s="31" t="str">
        <f>IF('2. Benefits Data'!H13&lt;&gt;"", TEXT('2. Benefits Data'!H13, "0.00") &amp; " - " &amp; TEXT('2. Benefits Data'!I13, "0.00"), "")</f>
        <v/>
      </c>
      <c r="H14" s="31" t="str">
        <f>IF('2. Benefits Data'!K13&lt;&gt;"", '2. Benefits Data'!K13, "")</f>
        <v/>
      </c>
    </row>
    <row r="15" spans="2:8" x14ac:dyDescent="0.35">
      <c r="B15" s="44" t="s">
        <v>80</v>
      </c>
      <c r="C15" s="24" t="str">
        <f>IF('2. Benefits Data'!C14&lt;&gt;"", '2. Benefits Data'!C14, "")</f>
        <v/>
      </c>
      <c r="D15" s="31" t="str">
        <f>IF('2. Benefits Data'!E14&lt;&gt;"", '2. Benefits Data'!E14, "")</f>
        <v/>
      </c>
      <c r="E15" s="31" t="str">
        <f>IF('2. Benefits Data'!F14&lt;&gt;"", '2. Benefits Data'!F14, "")</f>
        <v/>
      </c>
      <c r="F15" s="31" t="str">
        <f>IF('2. Benefits Data'!G14&lt;&gt;"", TEXT('2. Benefits Data'!G14, "0.00"), "")</f>
        <v/>
      </c>
      <c r="G15" s="31" t="str">
        <f>IF('2. Benefits Data'!H14&lt;&gt;"", TEXT('2. Benefits Data'!H14, "0.00") &amp; " - " &amp; TEXT('2. Benefits Data'!I14, "0.00"), "")</f>
        <v/>
      </c>
      <c r="H15" s="31" t="str">
        <f>IF('2. Benefits Data'!K14&lt;&gt;"", '2. Benefits Data'!K14, "")</f>
        <v/>
      </c>
    </row>
    <row r="16" spans="2:8" x14ac:dyDescent="0.35">
      <c r="B16" s="44" t="s">
        <v>80</v>
      </c>
      <c r="C16" s="24" t="str">
        <f>IF('2. Benefits Data'!C15&lt;&gt;"", '2. Benefits Data'!C15, "")</f>
        <v/>
      </c>
      <c r="D16" s="31" t="str">
        <f>IF('2. Benefits Data'!E15&lt;&gt;"", '2. Benefits Data'!E15, "")</f>
        <v/>
      </c>
      <c r="E16" s="31" t="str">
        <f>IF('2. Benefits Data'!F15&lt;&gt;"", '2. Benefits Data'!F15, "")</f>
        <v/>
      </c>
      <c r="F16" s="31" t="str">
        <f>IF('2. Benefits Data'!G15&lt;&gt;"", TEXT('2. Benefits Data'!G15, "0.00"), "")</f>
        <v/>
      </c>
      <c r="G16" s="31" t="str">
        <f>IF('2. Benefits Data'!H15&lt;&gt;"", TEXT('2. Benefits Data'!H15, "0.00") &amp; " - " &amp; TEXT('2. Benefits Data'!I15, "0.00"), "")</f>
        <v/>
      </c>
      <c r="H16" s="31" t="str">
        <f>IF('2. Benefits Data'!K15&lt;&gt;"", '2. Benefits Data'!K15, "")</f>
        <v/>
      </c>
    </row>
    <row r="17" spans="2:8" ht="15" customHeight="1" x14ac:dyDescent="0.35">
      <c r="B17" s="5" t="s">
        <v>81</v>
      </c>
      <c r="C17" s="5"/>
      <c r="D17" s="5"/>
      <c r="E17" s="5"/>
      <c r="F17" s="5"/>
      <c r="G17" s="5"/>
      <c r="H17" s="5"/>
    </row>
    <row r="18" spans="2:8" x14ac:dyDescent="0.35">
      <c r="B18" s="43" t="s">
        <v>82</v>
      </c>
      <c r="C18" s="24" t="str">
        <f>IF('3. Risks Data'!C6&lt;&gt;"", '3. Risks Data'!C6, "")</f>
        <v>Grade 3+ Neutropenia</v>
      </c>
      <c r="D18" s="31" t="str">
        <f>IF('3. Risks Data'!E6&lt;&gt;"", '3. Risks Data'!E6, "")</f>
        <v>25/100 (25%)</v>
      </c>
      <c r="E18" s="31" t="str">
        <f>IF('3. Risks Data'!F6&lt;&gt;"", '3. Risks Data'!F6, "")</f>
        <v>15/100 (15%)</v>
      </c>
      <c r="F18" s="31" t="str">
        <f>IF('3. Risks Data'!G6&lt;&gt;"", TEXT('3. Risks Data'!G6, "0.00"), "")</f>
        <v>1.67</v>
      </c>
      <c r="G18" s="31" t="str">
        <f>IF('3. Risks Data'!H6&lt;&gt;"", TEXT('3. Risks Data'!H6, "0.00") &amp; " - " &amp; TEXT('3. Risks Data'!I6, "0.00"), "")</f>
        <v>1.10 - 2.52</v>
      </c>
      <c r="H18" s="31" t="str">
        <f>IF('3. Risks Data'!K6&lt;&gt;"", '3. Risks Data'!K6, "")</f>
        <v>Comparator</v>
      </c>
    </row>
    <row r="19" spans="2:8" x14ac:dyDescent="0.35">
      <c r="B19" s="43" t="s">
        <v>82</v>
      </c>
      <c r="C19" s="24" t="str">
        <f>IF('3. Risks Data'!C7&lt;&gt;"", '3. Risks Data'!C7, "")</f>
        <v/>
      </c>
      <c r="D19" s="31" t="str">
        <f>IF('3. Risks Data'!E7&lt;&gt;"", '3. Risks Data'!E7, "")</f>
        <v/>
      </c>
      <c r="E19" s="31" t="str">
        <f>IF('3. Risks Data'!F7&lt;&gt;"", '3. Risks Data'!F7, "")</f>
        <v/>
      </c>
      <c r="F19" s="31" t="str">
        <f>IF('3. Risks Data'!G7&lt;&gt;"", TEXT('3. Risks Data'!G7, "0.00"), "")</f>
        <v/>
      </c>
      <c r="G19" s="31" t="str">
        <f>IF('3. Risks Data'!H7&lt;&gt;"", TEXT('3. Risks Data'!H7, "0.00") &amp; " - " &amp; TEXT('3. Risks Data'!I7, "0.00"), "")</f>
        <v/>
      </c>
      <c r="H19" s="31" t="str">
        <f>IF('3. Risks Data'!K7&lt;&gt;"", '3. Risks Data'!K7, "")</f>
        <v/>
      </c>
    </row>
    <row r="20" spans="2:8" x14ac:dyDescent="0.35">
      <c r="B20" s="43" t="s">
        <v>82</v>
      </c>
      <c r="C20" s="24" t="str">
        <f>IF('3. Risks Data'!C8&lt;&gt;"", '3. Risks Data'!C8, "")</f>
        <v/>
      </c>
      <c r="D20" s="31" t="str">
        <f>IF('3. Risks Data'!E8&lt;&gt;"", '3. Risks Data'!E8, "")</f>
        <v/>
      </c>
      <c r="E20" s="31" t="str">
        <f>IF('3. Risks Data'!F8&lt;&gt;"", '3. Risks Data'!F8, "")</f>
        <v/>
      </c>
      <c r="F20" s="31" t="str">
        <f>IF('3. Risks Data'!G8&lt;&gt;"", TEXT('3. Risks Data'!G8, "0.00"), "")</f>
        <v/>
      </c>
      <c r="G20" s="31" t="str">
        <f>IF('3. Risks Data'!H8&lt;&gt;"", TEXT('3. Risks Data'!H8, "0.00") &amp; " - " &amp; TEXT('3. Risks Data'!I8, "0.00"), "")</f>
        <v/>
      </c>
      <c r="H20" s="31" t="str">
        <f>IF('3. Risks Data'!K8&lt;&gt;"", '3. Risks Data'!K8, "")</f>
        <v/>
      </c>
    </row>
    <row r="21" spans="2:8" x14ac:dyDescent="0.35">
      <c r="B21" s="43" t="s">
        <v>82</v>
      </c>
      <c r="C21" s="24" t="str">
        <f>IF('3. Risks Data'!C9&lt;&gt;"", '3. Risks Data'!C9, "")</f>
        <v/>
      </c>
      <c r="D21" s="31" t="str">
        <f>IF('3. Risks Data'!E9&lt;&gt;"", '3. Risks Data'!E9, "")</f>
        <v/>
      </c>
      <c r="E21" s="31" t="str">
        <f>IF('3. Risks Data'!F9&lt;&gt;"", '3. Risks Data'!F9, "")</f>
        <v/>
      </c>
      <c r="F21" s="31" t="str">
        <f>IF('3. Risks Data'!G9&lt;&gt;"", TEXT('3. Risks Data'!G9, "0.00"), "")</f>
        <v/>
      </c>
      <c r="G21" s="31" t="str">
        <f>IF('3. Risks Data'!H9&lt;&gt;"", TEXT('3. Risks Data'!H9, "0.00") &amp; " - " &amp; TEXT('3. Risks Data'!I9, "0.00"), "")</f>
        <v/>
      </c>
      <c r="H21" s="31" t="str">
        <f>IF('3. Risks Data'!K9&lt;&gt;"", '3. Risks Data'!K9, "")</f>
        <v/>
      </c>
    </row>
    <row r="22" spans="2:8" x14ac:dyDescent="0.35">
      <c r="B22" s="43" t="s">
        <v>82</v>
      </c>
      <c r="C22" s="24" t="str">
        <f>IF('3. Risks Data'!C10&lt;&gt;"", '3. Risks Data'!C10, "")</f>
        <v/>
      </c>
      <c r="D22" s="31" t="str">
        <f>IF('3. Risks Data'!E10&lt;&gt;"", '3. Risks Data'!E10, "")</f>
        <v/>
      </c>
      <c r="E22" s="31" t="str">
        <f>IF('3. Risks Data'!F10&lt;&gt;"", '3. Risks Data'!F10, "")</f>
        <v/>
      </c>
      <c r="F22" s="31" t="str">
        <f>IF('3. Risks Data'!G10&lt;&gt;"", TEXT('3. Risks Data'!G10, "0.00"), "")</f>
        <v/>
      </c>
      <c r="G22" s="31" t="str">
        <f>IF('3. Risks Data'!H10&lt;&gt;"", TEXT('3. Risks Data'!H10, "0.00") &amp; " - " &amp; TEXT('3. Risks Data'!I10, "0.00"), "")</f>
        <v/>
      </c>
      <c r="H22" s="31" t="str">
        <f>IF('3. Risks Data'!K10&lt;&gt;"", '3. Risks Data'!K10, "")</f>
        <v/>
      </c>
    </row>
    <row r="23" spans="2:8" x14ac:dyDescent="0.35">
      <c r="B23" s="43" t="s">
        <v>82</v>
      </c>
      <c r="C23" s="24" t="str">
        <f>IF('3. Risks Data'!C11&lt;&gt;"", '3. Risks Data'!C11, "")</f>
        <v/>
      </c>
      <c r="D23" s="31" t="str">
        <f>IF('3. Risks Data'!E11&lt;&gt;"", '3. Risks Data'!E11, "")</f>
        <v/>
      </c>
      <c r="E23" s="31" t="str">
        <f>IF('3. Risks Data'!F11&lt;&gt;"", '3. Risks Data'!F11, "")</f>
        <v/>
      </c>
      <c r="F23" s="31" t="str">
        <f>IF('3. Risks Data'!G11&lt;&gt;"", TEXT('3. Risks Data'!G11, "0.00"), "")</f>
        <v/>
      </c>
      <c r="G23" s="31" t="str">
        <f>IF('3. Risks Data'!H11&lt;&gt;"", TEXT('3. Risks Data'!H11, "0.00") &amp; " - " &amp; TEXT('3. Risks Data'!I11, "0.00"), "")</f>
        <v/>
      </c>
      <c r="H23" s="31" t="str">
        <f>IF('3. Risks Data'!K11&lt;&gt;"", '3. Risks Data'!K11, "")</f>
        <v/>
      </c>
    </row>
    <row r="24" spans="2:8" x14ac:dyDescent="0.35">
      <c r="B24" s="43" t="s">
        <v>82</v>
      </c>
      <c r="C24" s="24" t="str">
        <f>IF('3. Risks Data'!C12&lt;&gt;"", '3. Risks Data'!C12, "")</f>
        <v/>
      </c>
      <c r="D24" s="31" t="str">
        <f>IF('3. Risks Data'!E12&lt;&gt;"", '3. Risks Data'!E12, "")</f>
        <v/>
      </c>
      <c r="E24" s="31" t="str">
        <f>IF('3. Risks Data'!F12&lt;&gt;"", '3. Risks Data'!F12, "")</f>
        <v/>
      </c>
      <c r="F24" s="31" t="str">
        <f>IF('3. Risks Data'!G12&lt;&gt;"", TEXT('3. Risks Data'!G12, "0.00"), "")</f>
        <v/>
      </c>
      <c r="G24" s="31" t="str">
        <f>IF('3. Risks Data'!H12&lt;&gt;"", TEXT('3. Risks Data'!H12, "0.00") &amp; " - " &amp; TEXT('3. Risks Data'!I12, "0.00"), "")</f>
        <v/>
      </c>
      <c r="H24" s="31" t="str">
        <f>IF('3. Risks Data'!K12&lt;&gt;"", '3. Risks Data'!K12, "")</f>
        <v/>
      </c>
    </row>
    <row r="25" spans="2:8" x14ac:dyDescent="0.35">
      <c r="B25" s="43" t="s">
        <v>82</v>
      </c>
      <c r="C25" s="24" t="str">
        <f>IF('3. Risks Data'!C13&lt;&gt;"", '3. Risks Data'!C13, "")</f>
        <v/>
      </c>
      <c r="D25" s="31" t="str">
        <f>IF('3. Risks Data'!E13&lt;&gt;"", '3. Risks Data'!E13, "")</f>
        <v/>
      </c>
      <c r="E25" s="31" t="str">
        <f>IF('3. Risks Data'!F13&lt;&gt;"", '3. Risks Data'!F13, "")</f>
        <v/>
      </c>
      <c r="F25" s="31" t="str">
        <f>IF('3. Risks Data'!G13&lt;&gt;"", TEXT('3. Risks Data'!G13, "0.00"), "")</f>
        <v/>
      </c>
      <c r="G25" s="31" t="str">
        <f>IF('3. Risks Data'!H13&lt;&gt;"", TEXT('3. Risks Data'!H13, "0.00") &amp; " - " &amp; TEXT('3. Risks Data'!I13, "0.00"), "")</f>
        <v/>
      </c>
      <c r="H25" s="31" t="str">
        <f>IF('3. Risks Data'!K13&lt;&gt;"", '3. Risks Data'!K13, "")</f>
        <v/>
      </c>
    </row>
    <row r="26" spans="2:8" x14ac:dyDescent="0.35">
      <c r="B26" s="43" t="s">
        <v>82</v>
      </c>
      <c r="C26" s="24" t="str">
        <f>IF('3. Risks Data'!C14&lt;&gt;"", '3. Risks Data'!C14, "")</f>
        <v/>
      </c>
      <c r="D26" s="31" t="str">
        <f>IF('3. Risks Data'!E14&lt;&gt;"", '3. Risks Data'!E14, "")</f>
        <v/>
      </c>
      <c r="E26" s="31" t="str">
        <f>IF('3. Risks Data'!F14&lt;&gt;"", '3. Risks Data'!F14, "")</f>
        <v/>
      </c>
      <c r="F26" s="31" t="str">
        <f>IF('3. Risks Data'!G14&lt;&gt;"", TEXT('3. Risks Data'!G14, "0.00"), "")</f>
        <v/>
      </c>
      <c r="G26" s="31" t="str">
        <f>IF('3. Risks Data'!H14&lt;&gt;"", TEXT('3. Risks Data'!H14, "0.00") &amp; " - " &amp; TEXT('3. Risks Data'!I14, "0.00"), "")</f>
        <v/>
      </c>
      <c r="H26" s="31" t="str">
        <f>IF('3. Risks Data'!K14&lt;&gt;"", '3. Risks Data'!K14, "")</f>
        <v/>
      </c>
    </row>
    <row r="27" spans="2:8" x14ac:dyDescent="0.35">
      <c r="B27" s="43" t="s">
        <v>82</v>
      </c>
      <c r="C27" s="24" t="str">
        <f>IF('3. Risks Data'!C15&lt;&gt;"", '3. Risks Data'!C15, "")</f>
        <v/>
      </c>
      <c r="D27" s="31" t="str">
        <f>IF('3. Risks Data'!E15&lt;&gt;"", '3. Risks Data'!E15, "")</f>
        <v/>
      </c>
      <c r="E27" s="31" t="str">
        <f>IF('3. Risks Data'!F15&lt;&gt;"", '3. Risks Data'!F15, "")</f>
        <v/>
      </c>
      <c r="F27" s="31" t="str">
        <f>IF('3. Risks Data'!G15&lt;&gt;"", TEXT('3. Risks Data'!G15, "0.00"), "")</f>
        <v/>
      </c>
      <c r="G27" s="31" t="str">
        <f>IF('3. Risks Data'!H15&lt;&gt;"", TEXT('3. Risks Data'!H15, "0.00") &amp; " - " &amp; TEXT('3. Risks Data'!I15, "0.00"), "")</f>
        <v/>
      </c>
      <c r="H27" s="31" t="str">
        <f>IF('3. Risks Data'!K15&lt;&gt;"", '3. Risks Data'!K15, "")</f>
        <v/>
      </c>
    </row>
    <row r="28" spans="2:8" ht="22.4" customHeight="1" x14ac:dyDescent="0.35">
      <c r="B28" s="3" t="s">
        <v>83</v>
      </c>
      <c r="C28" s="3"/>
      <c r="D28" s="3"/>
      <c r="E28" s="3"/>
      <c r="F28" s="3"/>
      <c r="G28" s="3"/>
      <c r="H28" s="3"/>
    </row>
  </sheetData>
  <mergeCells count="5">
    <mergeCell ref="B2:H2"/>
    <mergeCell ref="B3:H3"/>
    <mergeCell ref="B6:H6"/>
    <mergeCell ref="B17:H17"/>
    <mergeCell ref="B28:H28"/>
  </mergeCells>
  <pageMargins left="0.75" right="0.75" top="1" bottom="1" header="0.511811023622047" footer="0.511811023622047"/>
  <pageSetup paperSize="9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B2:C24"/>
  <sheetViews>
    <sheetView tabSelected="1" zoomScaleNormal="100" workbookViewId="0">
      <selection activeCell="B21" sqref="B21:C21"/>
    </sheetView>
  </sheetViews>
  <sheetFormatPr defaultColWidth="8.6328125" defaultRowHeight="14.5" x14ac:dyDescent="0.35"/>
  <cols>
    <col min="1" max="1" width="3" customWidth="1"/>
    <col min="2" max="2" width="25" customWidth="1"/>
    <col min="3" max="3" width="65" customWidth="1"/>
    <col min="4" max="4" width="3" customWidth="1"/>
  </cols>
  <sheetData>
    <row r="2" spans="2:3" ht="17.399999999999999" customHeight="1" x14ac:dyDescent="0.35">
      <c r="B2" s="13" t="s">
        <v>84</v>
      </c>
      <c r="C2" s="13"/>
    </row>
    <row r="4" spans="2:3" x14ac:dyDescent="0.35">
      <c r="B4" s="21" t="s">
        <v>85</v>
      </c>
    </row>
    <row r="5" spans="2:3" ht="25" x14ac:dyDescent="0.35">
      <c r="B5" s="45" t="s">
        <v>86</v>
      </c>
      <c r="C5" s="46" t="s">
        <v>87</v>
      </c>
    </row>
    <row r="6" spans="2:3" ht="25" x14ac:dyDescent="0.35">
      <c r="B6" s="45" t="s">
        <v>88</v>
      </c>
      <c r="C6" s="46" t="s">
        <v>89</v>
      </c>
    </row>
    <row r="7" spans="2:3" ht="25" x14ac:dyDescent="0.35">
      <c r="B7" s="45" t="s">
        <v>90</v>
      </c>
      <c r="C7" s="46" t="s">
        <v>91</v>
      </c>
    </row>
    <row r="8" spans="2:3" ht="25" x14ac:dyDescent="0.35">
      <c r="B8" s="45" t="s">
        <v>92</v>
      </c>
      <c r="C8" s="46" t="s">
        <v>93</v>
      </c>
    </row>
    <row r="9" spans="2:3" x14ac:dyDescent="0.35">
      <c r="B9" s="45" t="s">
        <v>94</v>
      </c>
      <c r="C9" s="46" t="s">
        <v>95</v>
      </c>
    </row>
    <row r="10" spans="2:3" ht="25" x14ac:dyDescent="0.35">
      <c r="B10" s="45" t="s">
        <v>96</v>
      </c>
      <c r="C10" s="46" t="s">
        <v>97</v>
      </c>
    </row>
    <row r="12" spans="2:3" x14ac:dyDescent="0.35">
      <c r="B12" s="16" t="s">
        <v>98</v>
      </c>
    </row>
    <row r="13" spans="2:3" ht="25" x14ac:dyDescent="0.35">
      <c r="B13" s="45" t="s">
        <v>99</v>
      </c>
      <c r="C13" s="46" t="s">
        <v>100</v>
      </c>
    </row>
    <row r="14" spans="2:3" ht="25" x14ac:dyDescent="0.35">
      <c r="B14" s="45" t="s">
        <v>101</v>
      </c>
      <c r="C14" s="46" t="s">
        <v>102</v>
      </c>
    </row>
    <row r="15" spans="2:3" ht="25" x14ac:dyDescent="0.35">
      <c r="B15" s="45" t="s">
        <v>103</v>
      </c>
      <c r="C15" s="46" t="s">
        <v>104</v>
      </c>
    </row>
    <row r="16" spans="2:3" ht="25" x14ac:dyDescent="0.35">
      <c r="B16" s="45" t="s">
        <v>105</v>
      </c>
      <c r="C16" s="46" t="s">
        <v>106</v>
      </c>
    </row>
    <row r="17" spans="2:3" ht="25" x14ac:dyDescent="0.35">
      <c r="B17" s="45" t="s">
        <v>107</v>
      </c>
      <c r="C17" s="46" t="s">
        <v>108</v>
      </c>
    </row>
    <row r="19" spans="2:3" x14ac:dyDescent="0.35">
      <c r="B19" s="18" t="s">
        <v>109</v>
      </c>
    </row>
    <row r="20" spans="2:3" x14ac:dyDescent="0.35">
      <c r="B20" s="2" t="s">
        <v>110</v>
      </c>
      <c r="C20" s="2"/>
    </row>
    <row r="21" spans="2:3" x14ac:dyDescent="0.35">
      <c r="B21" s="2" t="s">
        <v>111</v>
      </c>
      <c r="C21" s="2"/>
    </row>
    <row r="22" spans="2:3" x14ac:dyDescent="0.35">
      <c r="B22" s="2" t="s">
        <v>112</v>
      </c>
      <c r="C22" s="2"/>
    </row>
    <row r="24" spans="2:3" ht="15" customHeight="1" x14ac:dyDescent="0.35">
      <c r="B24" s="1" t="s">
        <v>113</v>
      </c>
      <c r="C24" s="1"/>
    </row>
  </sheetData>
  <mergeCells count="5">
    <mergeCell ref="B2:C2"/>
    <mergeCell ref="B20:C20"/>
    <mergeCell ref="B21:C21"/>
    <mergeCell ref="B22:C22"/>
    <mergeCell ref="B24:C24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Instructions</vt:lpstr>
      <vt:lpstr>1. Settings</vt:lpstr>
      <vt:lpstr>2. Benefits Data</vt:lpstr>
      <vt:lpstr>3. Risks Data</vt:lpstr>
      <vt:lpstr>4. Forest Plot</vt:lpstr>
      <vt:lpstr>5. Summary Table</vt:lpstr>
      <vt:lpstr>Reference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Matthew Campion</cp:lastModifiedBy>
  <cp:revision>0</cp:revision>
  <dcterms:created xsi:type="dcterms:W3CDTF">2025-12-18T02:54:47Z</dcterms:created>
  <dcterms:modified xsi:type="dcterms:W3CDTF">2025-12-18T14:21:43Z</dcterms:modified>
  <dc:language>en-US</dc:language>
</cp:coreProperties>
</file>